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18315" windowHeight="11640"/>
  </bookViews>
  <sheets>
    <sheet name="OPINIO_V" sheetId="27" r:id="rId1"/>
    <sheet name="dbscset" sheetId="20" r:id="rId2"/>
  </sheets>
  <functionGroups builtInGroupCount="17"/>
  <definedNames>
    <definedName name="_xlnm._FilterDatabase" localSheetId="0" hidden="1">OPINIO_V!$A$6:$DY$7</definedName>
    <definedName name="dbscset列数">dbscset!$B$11</definedName>
    <definedName name="MNO">dbscset!$B$7</definedName>
    <definedName name="PWDForm表示フラグ">dbscset!$B$13</definedName>
    <definedName name="PWD種類">dbscset!$B$14</definedName>
    <definedName name="アクティブシート名">dbscset!$B$10</definedName>
    <definedName name="コピー元行数">dbscset!$B$27</definedName>
    <definedName name="サーバー時刻">dbscset!$B$24</definedName>
    <definedName name="サーバー日付">dbscset!$B$24</definedName>
    <definedName name="シート区分">dbscset!$B$15</definedName>
    <definedName name="データ開始セル位置">dbscset!$B$39</definedName>
    <definedName name="マニュアルボタン名">dbscset!$B$5</definedName>
    <definedName name="マニュアル表示フラグ">dbscset!$B$4</definedName>
    <definedName name="メニューバーボタン名">dbscset!$B$3</definedName>
    <definedName name="メニューバー表示フラグ">dbscset!$B$2</definedName>
    <definedName name="メニュー識別名">dbscset!$B$8</definedName>
    <definedName name="ログイン時間">dbscset!$B$26</definedName>
    <definedName name="ログイン年月日">dbscset!$B$25</definedName>
    <definedName name="ログイン年度">dbscset!$B$18</definedName>
    <definedName name="英語カラム名行数">dbscset!$B$29</definedName>
    <definedName name="権限">dbscset!$B$6</definedName>
    <definedName name="見出し開始行数">dbscset!$B$30</definedName>
    <definedName name="見出し終了行数">dbscset!$B$31</definedName>
    <definedName name="御意見番見出し">OFFSET(OPINIO_V!$C$5,0,0, 1,COUNTA(OPINIO_V!$5:$5))</definedName>
    <definedName name="更新行数">dbscset!$B$37</definedName>
    <definedName name="主キー列名">dbscset!$B$38</definedName>
    <definedName name="出力ファイル名">dbscset!$B$23</definedName>
    <definedName name="遷移モード">dbscset!$B$12</definedName>
    <definedName name="挿入行数">dbscset!$B$36</definedName>
    <definedName name="調書NO">dbscset!$B$19</definedName>
    <definedName name="調書モード切替ボタン名">dbscset!$B$17</definedName>
    <definedName name="調書入力モード">dbscset!$B$16</definedName>
    <definedName name="追加行数">dbscset!$B$34</definedName>
    <definedName name="締めフラグ">dbscset!$B$20</definedName>
    <definedName name="読込開始セル位置">dbscset!$B$39</definedName>
    <definedName name="読込件数">dbscset!$B$35</definedName>
    <definedName name="読込件数出力セル位置">dbscset!$B$40</definedName>
    <definedName name="日本語カラム名行数">dbscset!$B$28</definedName>
    <definedName name="入力開始行数">dbscset!$B$32</definedName>
    <definedName name="入力終了行数">dbscset!$B$33</definedName>
    <definedName name="入力書類">dbscset!$B$9</definedName>
    <definedName name="入力制限フラグ">dbscset!$B$21</definedName>
    <definedName name="入力制限メッセージ">dbscset!$B$22</definedName>
  </definedNames>
  <calcPr calcId="145621"/>
</workbook>
</file>

<file path=xl/calcChain.xml><?xml version="1.0" encoding="utf-8"?>
<calcChain xmlns="http://schemas.openxmlformats.org/spreadsheetml/2006/main">
  <c r="C40" i="20" l="1"/>
  <c r="C39" i="20" l="1"/>
  <c r="C36" i="20" l="1"/>
  <c r="C37" i="20" l="1"/>
  <c r="C33" i="20"/>
  <c r="B26" i="20" l="1"/>
  <c r="B25" i="20"/>
  <c r="AE12" i="27" l="1"/>
  <c r="AE10" i="27"/>
  <c r="AE11" i="27"/>
  <c r="AE9" i="27"/>
  <c r="AE8" i="27"/>
  <c r="AE3" i="27"/>
  <c r="B17" i="20" l="1"/>
  <c r="B15" i="20"/>
  <c r="B13" i="20"/>
  <c r="B9" i="20"/>
  <c r="B5" i="20"/>
  <c r="B3" i="20"/>
  <c r="B11" i="20" l="1"/>
  <c r="B23" i="20"/>
  <c r="B30" i="20"/>
  <c r="B36" i="20"/>
  <c r="B34" i="20"/>
  <c r="B31" i="20"/>
  <c r="B35" i="20"/>
  <c r="B33" i="20"/>
  <c r="B29" i="20"/>
  <c r="B38" i="20"/>
  <c r="B37" i="20"/>
  <c r="B32" i="20"/>
  <c r="B27" i="20"/>
  <c r="B39" i="20"/>
  <c r="B28" i="20"/>
  <c r="B40" i="20"/>
</calcChain>
</file>

<file path=xl/sharedStrings.xml><?xml version="1.0" encoding="utf-8"?>
<sst xmlns="http://schemas.openxmlformats.org/spreadsheetml/2006/main" count="152" uniqueCount="138">
  <si>
    <t>調書NO</t>
  </si>
  <si>
    <t>件名別</t>
  </si>
  <si>
    <t>予算調書入力</t>
  </si>
  <si>
    <t>メニューバーボタン名</t>
  </si>
  <si>
    <t>マニュアル表示フラグ</t>
  </si>
  <si>
    <t>マニュアルボタン名</t>
  </si>
  <si>
    <t>権限</t>
  </si>
  <si>
    <t>MNO</t>
  </si>
  <si>
    <t>メニュー識別名</t>
  </si>
  <si>
    <t>アクティブシート名</t>
  </si>
  <si>
    <t>遷移モード</t>
  </si>
  <si>
    <t>PWDForm表示フラグ</t>
  </si>
  <si>
    <t>PWD種類</t>
  </si>
  <si>
    <t>調書モード切替ボタン名</t>
  </si>
  <si>
    <t>ログイン年度</t>
  </si>
  <si>
    <t>締めフラグ</t>
  </si>
  <si>
    <t>メンテナンス中なので終了します。</t>
  </si>
  <si>
    <t>シート区分</t>
    <phoneticPr fontId="1"/>
  </si>
  <si>
    <t>メニューバー表示フラグ</t>
    <phoneticPr fontId="1"/>
  </si>
  <si>
    <t>入力制限メッセージ</t>
    <phoneticPr fontId="1"/>
  </si>
  <si>
    <t>入力制限フラグ</t>
    <phoneticPr fontId="1"/>
  </si>
  <si>
    <t>入力書類</t>
    <phoneticPr fontId="1"/>
  </si>
  <si>
    <t>調書入力モード</t>
    <rPh sb="2" eb="4">
      <t>ニュウリョク</t>
    </rPh>
    <phoneticPr fontId="1"/>
  </si>
  <si>
    <t>DBS_STATUS</t>
  </si>
  <si>
    <t>DBS_STATUS</t>
    <phoneticPr fontId="1"/>
  </si>
  <si>
    <t>DBS_CREATE_USER</t>
  </si>
  <si>
    <t>DBS_CREATE_USER</t>
    <phoneticPr fontId="1"/>
  </si>
  <si>
    <t>DBS_CREATE_DATE</t>
  </si>
  <si>
    <t>DBS_CREATE_DATE</t>
    <phoneticPr fontId="1"/>
  </si>
  <si>
    <t>DBS_UPDATE_USER</t>
  </si>
  <si>
    <t>DBS_UPDATE_USER</t>
    <phoneticPr fontId="1"/>
  </si>
  <si>
    <t>DBS_UPDATE_DATE</t>
  </si>
  <si>
    <t>DBS_UPDATE_DATE</t>
    <phoneticPr fontId="1"/>
  </si>
  <si>
    <t>NO</t>
  </si>
  <si>
    <t>　御意見番</t>
    <rPh sb="1" eb="2">
      <t>ゴ</t>
    </rPh>
    <rPh sb="2" eb="4">
      <t>イケン</t>
    </rPh>
    <rPh sb="4" eb="5">
      <t>バン</t>
    </rPh>
    <phoneticPr fontId="1"/>
  </si>
  <si>
    <t>年月日</t>
    <rPh sb="0" eb="1">
      <t>ネン</t>
    </rPh>
    <rPh sb="1" eb="2">
      <t>ガツ</t>
    </rPh>
    <rPh sb="2" eb="3">
      <t>ヒ</t>
    </rPh>
    <phoneticPr fontId="1"/>
  </si>
  <si>
    <t>担当</t>
    <rPh sb="0" eb="2">
      <t>タントウ</t>
    </rPh>
    <phoneticPr fontId="1"/>
  </si>
  <si>
    <t>NO</t>
    <phoneticPr fontId="1"/>
  </si>
  <si>
    <t>分類</t>
    <rPh sb="0" eb="2">
      <t>ブンルイ</t>
    </rPh>
    <phoneticPr fontId="1"/>
  </si>
  <si>
    <t>質問事項</t>
    <rPh sb="0" eb="2">
      <t>シツモン</t>
    </rPh>
    <rPh sb="2" eb="4">
      <t>ジコウ</t>
    </rPh>
    <phoneticPr fontId="1"/>
  </si>
  <si>
    <t>対象シート</t>
    <rPh sb="0" eb="2">
      <t>タイショウ</t>
    </rPh>
    <phoneticPr fontId="1"/>
  </si>
  <si>
    <t>回答１</t>
    <rPh sb="0" eb="2">
      <t>カイトウ</t>
    </rPh>
    <phoneticPr fontId="1"/>
  </si>
  <si>
    <t>回答２</t>
    <rPh sb="0" eb="2">
      <t>カイトウ</t>
    </rPh>
    <phoneticPr fontId="1"/>
  </si>
  <si>
    <t>回答３</t>
    <rPh sb="0" eb="2">
      <t>カイトウ</t>
    </rPh>
    <phoneticPr fontId="1"/>
  </si>
  <si>
    <t>質問内容</t>
    <rPh sb="0" eb="2">
      <t>シツモン</t>
    </rPh>
    <rPh sb="2" eb="4">
      <t>ナイヨウイヨウ</t>
    </rPh>
    <phoneticPr fontId="1"/>
  </si>
  <si>
    <t>回答内容</t>
    <rPh sb="0" eb="2">
      <t>カイトウ</t>
    </rPh>
    <rPh sb="2" eb="4">
      <t>ナイヨウ</t>
    </rPh>
    <phoneticPr fontId="1"/>
  </si>
  <si>
    <t>備考</t>
    <rPh sb="0" eb="2">
      <t>ビコウ</t>
    </rPh>
    <phoneticPr fontId="1"/>
  </si>
  <si>
    <r>
      <t xml:space="preserve">発信元
</t>
    </r>
    <r>
      <rPr>
        <b/>
        <sz val="10"/>
        <color theme="0"/>
        <rFont val="ＭＳ Ｐゴシック"/>
        <family val="3"/>
        <charset val="128"/>
        <scheme val="minor"/>
      </rPr>
      <t>（JRorSS）</t>
    </r>
    <rPh sb="0" eb="2">
      <t>ハッシン</t>
    </rPh>
    <rPh sb="2" eb="3">
      <t>モト</t>
    </rPh>
    <phoneticPr fontId="1"/>
  </si>
  <si>
    <t>A1_DATE</t>
    <phoneticPr fontId="1"/>
  </si>
  <si>
    <t>A1_NAME</t>
    <phoneticPr fontId="1"/>
  </si>
  <si>
    <t>A1_SUBJECT</t>
    <phoneticPr fontId="1"/>
  </si>
  <si>
    <t>A2_DATE</t>
  </si>
  <si>
    <t>A2_NAME</t>
  </si>
  <si>
    <t>A2_SUBJECT</t>
  </si>
  <si>
    <t>A3_DATE</t>
  </si>
  <si>
    <t>A3_NAME</t>
  </si>
  <si>
    <t>A3_SUBJECT</t>
  </si>
  <si>
    <t>Q1_SHEET</t>
  </si>
  <si>
    <t>CLASS</t>
    <phoneticPr fontId="1"/>
  </si>
  <si>
    <t>REMARKS</t>
    <phoneticPr fontId="1"/>
  </si>
  <si>
    <t>SOURCE</t>
    <phoneticPr fontId="1"/>
  </si>
  <si>
    <t>DUMMY1</t>
    <phoneticPr fontId="1"/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</si>
  <si>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</si>
  <si>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</si>
  <si>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</si>
  <si>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</si>
  <si>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</si>
  <si>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</si>
  <si>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</si>
  <si>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</si>
  <si>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</si>
  <si>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予備１</t>
    <rPh sb="0" eb="2">
      <t>ヨビ</t>
    </rPh>
    <phoneticPr fontId="1"/>
  </si>
  <si>
    <t>予備２</t>
    <rPh sb="0" eb="2">
      <t>ヨビ</t>
    </rPh>
    <phoneticPr fontId="1"/>
  </si>
  <si>
    <t>予備３</t>
    <rPh sb="0" eb="2">
      <t>ヨビ</t>
    </rPh>
    <phoneticPr fontId="1"/>
  </si>
  <si>
    <t>予備４</t>
    <rPh sb="0" eb="2">
      <t>ヨビ</t>
    </rPh>
    <phoneticPr fontId="1"/>
  </si>
  <si>
    <t>予備５</t>
    <rPh sb="0" eb="2">
      <t>ヨビ</t>
    </rPh>
    <phoneticPr fontId="1"/>
  </si>
  <si>
    <t>予備６</t>
    <rPh sb="0" eb="2">
      <t>ヨビ</t>
    </rPh>
    <phoneticPr fontId="1"/>
  </si>
  <si>
    <t>予備７</t>
    <rPh sb="0" eb="2">
      <t>ヨビ</t>
    </rPh>
    <phoneticPr fontId="1"/>
  </si>
  <si>
    <t>予備８</t>
    <rPh sb="0" eb="2">
      <t>ヨビ</t>
    </rPh>
    <phoneticPr fontId="1"/>
  </si>
  <si>
    <t>予備９</t>
    <rPh sb="0" eb="2">
      <t>ヨビ</t>
    </rPh>
    <phoneticPr fontId="1"/>
  </si>
  <si>
    <t>予備１０</t>
    <rPh sb="0" eb="2">
      <t>ヨビ</t>
    </rPh>
    <phoneticPr fontId="1"/>
  </si>
  <si>
    <t>削除</t>
    <rPh sb="0" eb="2">
      <t>サクジョ</t>
    </rPh>
    <phoneticPr fontId="1"/>
  </si>
  <si>
    <t>M60_OPINIO_V</t>
    <phoneticPr fontId="1"/>
  </si>
  <si>
    <t>Q1_NAME</t>
    <phoneticPr fontId="1"/>
  </si>
  <si>
    <t>Q1_DATE</t>
    <phoneticPr fontId="1"/>
  </si>
  <si>
    <t>Q_SUBJECT</t>
    <phoneticPr fontId="1"/>
  </si>
  <si>
    <t>出力ファイル名</t>
    <rPh sb="0" eb="2">
      <t>シュツリョク</t>
    </rPh>
    <rPh sb="6" eb="7">
      <t>メイ</t>
    </rPh>
    <phoneticPr fontId="1"/>
  </si>
  <si>
    <t>サーバー時刻</t>
    <rPh sb="4" eb="6">
      <t>ジコク</t>
    </rPh>
    <phoneticPr fontId="1"/>
  </si>
  <si>
    <t>ログイン年月日</t>
    <rPh sb="4" eb="7">
      <t>ネンガッピ</t>
    </rPh>
    <phoneticPr fontId="1"/>
  </si>
  <si>
    <t>ログイン時間</t>
    <rPh sb="4" eb="6">
      <t>ジカン</t>
    </rPh>
    <phoneticPr fontId="1"/>
  </si>
  <si>
    <t>DEL</t>
    <phoneticPr fontId="1"/>
  </si>
  <si>
    <t>削除</t>
    <rPh sb="0" eb="2">
      <t>サクジョ</t>
    </rPh>
    <phoneticPr fontId="1"/>
  </si>
  <si>
    <t>発信元</t>
  </si>
  <si>
    <t>分類</t>
  </si>
  <si>
    <t>質問事項（日付）</t>
  </si>
  <si>
    <t>質問事項（氏名）</t>
  </si>
  <si>
    <t>質問事項（対象シート）</t>
  </si>
  <si>
    <t>質問事項（内容）</t>
  </si>
  <si>
    <t>回答１（日付）</t>
  </si>
  <si>
    <t>回答１（内容）</t>
  </si>
  <si>
    <t>回答２（日付）</t>
  </si>
  <si>
    <t>回答２（内容）</t>
  </si>
  <si>
    <t>回答３（日付）</t>
  </si>
  <si>
    <t>回答３（内容）</t>
  </si>
  <si>
    <t>備考</t>
  </si>
  <si>
    <t>予備1</t>
  </si>
  <si>
    <t>予備2</t>
  </si>
  <si>
    <t>予備3</t>
  </si>
  <si>
    <t>予備4</t>
  </si>
  <si>
    <t>予備5</t>
  </si>
  <si>
    <t>予備6</t>
  </si>
  <si>
    <t>予備7</t>
  </si>
  <si>
    <t>予備8</t>
  </si>
  <si>
    <t>予備9</t>
  </si>
  <si>
    <t>予備10</t>
  </si>
  <si>
    <t>更新行数</t>
    <phoneticPr fontId="1"/>
  </si>
  <si>
    <t>dbscset列数</t>
    <phoneticPr fontId="1"/>
  </si>
  <si>
    <t>共通</t>
    <rPh sb="0" eb="2">
      <t>キョウツウ</t>
    </rPh>
    <phoneticPr fontId="1"/>
  </si>
  <si>
    <t>挿入行数</t>
    <rPh sb="0" eb="2">
      <t>ソウニュウ</t>
    </rPh>
    <rPh sb="2" eb="4">
      <t>ギョウスウ</t>
    </rPh>
    <phoneticPr fontId="1"/>
  </si>
  <si>
    <t>dbscset見出し</t>
    <rPh sb="7" eb="9">
      <t>ミダ</t>
    </rPh>
    <phoneticPr fontId="1"/>
  </si>
  <si>
    <t>見出し開始行数</t>
    <rPh sb="3" eb="5">
      <t>カイシ</t>
    </rPh>
    <phoneticPr fontId="1"/>
  </si>
  <si>
    <t>見出し終了行数</t>
    <rPh sb="3" eb="5">
      <t>シュウリョウ</t>
    </rPh>
    <phoneticPr fontId="1"/>
  </si>
  <si>
    <t>英語カラム名行数</t>
    <rPh sb="0" eb="2">
      <t>エイゴ</t>
    </rPh>
    <rPh sb="5" eb="6">
      <t>メイ</t>
    </rPh>
    <phoneticPr fontId="1"/>
  </si>
  <si>
    <t>日本語カラム名行数</t>
    <rPh sb="0" eb="3">
      <t>ニホンゴ</t>
    </rPh>
    <rPh sb="7" eb="9">
      <t>ギョウスウ</t>
    </rPh>
    <phoneticPr fontId="1"/>
  </si>
  <si>
    <t>コピー元行数</t>
    <rPh sb="3" eb="4">
      <t>モト</t>
    </rPh>
    <phoneticPr fontId="1"/>
  </si>
  <si>
    <t>入力開始行数</t>
    <rPh sb="0" eb="2">
      <t>ニュウリョク</t>
    </rPh>
    <phoneticPr fontId="1"/>
  </si>
  <si>
    <t>読込件数</t>
    <rPh sb="2" eb="4">
      <t>ケンスウ</t>
    </rPh>
    <phoneticPr fontId="1"/>
  </si>
  <si>
    <t>入力終了行数</t>
    <rPh sb="0" eb="2">
      <t>ニュウリョク</t>
    </rPh>
    <phoneticPr fontId="1"/>
  </si>
  <si>
    <t>追加行数</t>
    <rPh sb="0" eb="2">
      <t>ツイカ</t>
    </rPh>
    <rPh sb="2" eb="3">
      <t>ギョウ</t>
    </rPh>
    <phoneticPr fontId="1"/>
  </si>
  <si>
    <t>D</t>
    <phoneticPr fontId="1"/>
  </si>
  <si>
    <t>主キー列名</t>
    <rPh sb="0" eb="1">
      <t>シュ</t>
    </rPh>
    <rPh sb="3" eb="4">
      <t>レツ</t>
    </rPh>
    <rPh sb="4" eb="5">
      <t>メイ</t>
    </rPh>
    <phoneticPr fontId="1"/>
  </si>
  <si>
    <t>読込件数出力セル位置</t>
    <rPh sb="0" eb="2">
      <t>ヨミコ</t>
    </rPh>
    <rPh sb="2" eb="4">
      <t>ケンスウ</t>
    </rPh>
    <rPh sb="4" eb="6">
      <t>シュツリョク</t>
    </rPh>
    <rPh sb="8" eb="10">
      <t>イチ</t>
    </rPh>
    <phoneticPr fontId="1"/>
  </si>
  <si>
    <t>データ開始セル位置</t>
    <rPh sb="3" eb="5">
      <t>カイシ</t>
    </rPh>
    <rPh sb="7" eb="9">
      <t>イチ</t>
    </rPh>
    <phoneticPr fontId="1"/>
  </si>
  <si>
    <t>回答１（氏名）</t>
  </si>
  <si>
    <t>回答２（氏名）</t>
  </si>
  <si>
    <t>回答３（氏名）</t>
  </si>
  <si>
    <t>OPINIO_V</t>
    <phoneticPr fontId="1"/>
  </si>
  <si>
    <t>OPINIO_V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</si>
</sst>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/d"/>
    <numFmt numFmtId="179" formatCode="[$-F400]h:mm:ss\ AM/PM"/>
  </numFmts>
  <fonts count="1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4"/>
      <color indexed="9"/>
      <name val="ＭＳ Ｐゴシック"/>
      <family val="3"/>
      <charset val="128"/>
      <scheme val="minor"/>
    </font>
    <font>
      <b/>
      <sz val="14"/>
      <color theme="0"/>
      <name val="ＭＳ Ｐゴシック"/>
      <family val="3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u/>
      <sz val="11"/>
      <color theme="0"/>
      <name val="ＭＳ Ｐゴシック"/>
      <family val="2"/>
      <charset val="128"/>
      <scheme val="minor"/>
    </font>
    <font>
      <u/>
      <sz val="11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1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9" borderId="7">
      <alignment horizontal="center" vertical="center" wrapText="1"/>
      <protection locked="0"/>
    </xf>
    <xf numFmtId="0" fontId="7" fillId="11" borderId="7">
      <alignment horizontal="center" vertical="center" wrapText="1"/>
    </xf>
    <xf numFmtId="0" fontId="9" fillId="7" borderId="7">
      <alignment horizontal="center" vertical="center" wrapText="1"/>
      <protection locked="0"/>
    </xf>
    <xf numFmtId="0" fontId="8" fillId="12" borderId="7">
      <alignment horizontal="center" vertical="center" wrapText="1"/>
      <protection locked="0"/>
    </xf>
    <xf numFmtId="0" fontId="8" fillId="13" borderId="7">
      <alignment horizontal="center" vertical="center" wrapText="1"/>
      <protection locked="0"/>
    </xf>
    <xf numFmtId="0" fontId="4" fillId="0" borderId="7">
      <alignment horizontal="center" vertical="center" wrapText="1"/>
    </xf>
    <xf numFmtId="0" fontId="8" fillId="10" borderId="14">
      <alignment horizontal="center" vertical="center"/>
      <protection locked="0"/>
    </xf>
    <xf numFmtId="0" fontId="4" fillId="7" borderId="7" applyAlignment="0">
      <alignment horizontal="center" vertical="center"/>
      <protection locked="0"/>
    </xf>
    <xf numFmtId="0" fontId="12" fillId="8" borderId="7" applyAlignment="0">
      <alignment horizontal="center" vertical="center" wrapText="1"/>
    </xf>
  </cellStyleXfs>
  <cellXfs count="50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1" xfId="0" applyBorder="1">
      <alignment vertical="center"/>
    </xf>
    <xf numFmtId="0" fontId="0" fillId="6" borderId="1" xfId="0" applyFill="1" applyBorder="1">
      <alignment vertical="center"/>
    </xf>
    <xf numFmtId="0" fontId="0" fillId="0" borderId="9" xfId="0" applyBorder="1">
      <alignment vertical="center"/>
    </xf>
    <xf numFmtId="0" fontId="5" fillId="4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0" borderId="0" xfId="0" applyFont="1">
      <alignment vertical="center"/>
    </xf>
    <xf numFmtId="0" fontId="6" fillId="4" borderId="0" xfId="0" applyFont="1" applyFill="1">
      <alignment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10" xfId="0" applyBorder="1">
      <alignment vertical="center"/>
    </xf>
    <xf numFmtId="0" fontId="10" fillId="3" borderId="14" xfId="0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176" fontId="0" fillId="14" borderId="6" xfId="0" applyNumberFormat="1" applyFill="1" applyBorder="1" applyAlignment="1" applyProtection="1">
      <alignment horizontal="center" vertical="center" wrapText="1"/>
    </xf>
    <xf numFmtId="0" fontId="0" fillId="0" borderId="8" xfId="0" applyBorder="1" applyAlignment="1" applyProtection="1">
      <alignment vertical="center" wrapText="1"/>
      <protection locked="0"/>
    </xf>
    <xf numFmtId="0" fontId="0" fillId="0" borderId="14" xfId="0" applyBorder="1" applyAlignment="1" applyProtection="1">
      <alignment vertical="center" wrapText="1"/>
      <protection locked="0"/>
    </xf>
    <xf numFmtId="0" fontId="2" fillId="2" borderId="0" xfId="0" applyFont="1" applyFill="1" applyAlignment="1">
      <alignment horizontal="center" vertical="center" textRotation="255"/>
    </xf>
    <xf numFmtId="14" fontId="0" fillId="0" borderId="6" xfId="0" applyNumberFormat="1" applyBorder="1">
      <alignment vertical="center"/>
    </xf>
    <xf numFmtId="0" fontId="0" fillId="0" borderId="6" xfId="0" applyFill="1" applyBorder="1" applyAlignment="1" applyProtection="1">
      <alignment horizontal="center" vertical="center" wrapText="1"/>
      <protection locked="0"/>
    </xf>
    <xf numFmtId="0" fontId="10" fillId="3" borderId="15" xfId="0" applyFont="1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22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2" fillId="5" borderId="1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/>
    </xf>
  </cellXfs>
  <cellStyles count="12">
    <cellStyle name="ハイパーリンク" xfId="1" builtinId="8" customBuiltin="1"/>
    <cellStyle name="ボタン無" xfId="8"/>
    <cellStyle name="確定設定" xfId="6"/>
    <cellStyle name="削除設定" xfId="9"/>
    <cellStyle name="設定解除" xfId="5"/>
    <cellStyle name="設定保護" xfId="4"/>
    <cellStyle name="通達設定" xfId="7"/>
    <cellStyle name="締め設定" xfId="3"/>
    <cellStyle name="標準" xfId="0" builtinId="0"/>
    <cellStyle name="表示済みのハイパーリンク" xfId="2" builtinId="9" customBuiltin="1"/>
    <cellStyle name="編集可能セル" xfId="10"/>
    <cellStyle name="編集不可セル" xfId="11"/>
  </cellStyles>
  <dxfs count="0"/>
  <tableStyles count="0" defaultTableStyle="TableStyleMedium2" defaultPivotStyle="PivotStyleLight16"/>
  <colors>
    <mruColors>
      <color rgb="FFFFFFCC"/>
      <color rgb="FF6666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18"/>
  <dimension ref="A1:DY12"/>
  <sheetViews>
    <sheetView tabSelected="1" zoomScale="70" zoomScaleNormal="70" workbookViewId="0">
      <pane xSplit="10" ySplit="7" topLeftCell="O8" activePane="bottomRight" state="frozen"/>
      <selection activeCell="A11" sqref="A11"/>
      <selection pane="topRight" activeCell="K11" sqref="K11"/>
      <selection pane="bottomLeft" activeCell="A17" sqref="A17"/>
      <selection pane="bottomRight" activeCell="F11" sqref="F11"/>
    </sheetView>
  </sheetViews>
  <sheetFormatPr defaultRowHeight="13.5"/>
  <cols>
    <col min="1" max="1" width="3.125" customWidth="1"/>
    <col min="2" max="2" width="1.625" customWidth="1"/>
    <col min="3" max="3" width="4.625" style="1" bestFit="1" customWidth="1"/>
    <col min="4" max="4" width="4.625" customWidth="1"/>
    <col min="6" max="6" width="9" customWidth="1"/>
    <col min="7" max="7" width="9.5" customWidth="1"/>
    <col min="8" max="8" width="5.75" customWidth="1"/>
    <col min="9" max="9" width="10.75" bestFit="1" customWidth="1"/>
    <col min="10" max="10" width="40.625" customWidth="1"/>
    <col min="11" max="11" width="9.5" customWidth="1"/>
    <col min="12" max="12" width="5.75" customWidth="1"/>
    <col min="13" max="13" width="40.625" customWidth="1"/>
    <col min="14" max="14" width="9.5" customWidth="1"/>
    <col min="15" max="15" width="5.75" customWidth="1"/>
    <col min="16" max="16" width="40.625" customWidth="1"/>
    <col min="17" max="17" width="9.5" customWidth="1"/>
    <col min="18" max="18" width="5.75" customWidth="1"/>
    <col min="19" max="20" width="40.625" customWidth="1"/>
    <col min="21" max="35" width="9" hidden="1" customWidth="1"/>
  </cols>
  <sheetData>
    <row r="1" spans="1:129" s="10" customFormat="1" ht="36" customHeight="1">
      <c r="A1" s="29"/>
      <c r="B1" s="11" t="s">
        <v>34</v>
      </c>
      <c r="C1" s="11"/>
      <c r="D1" s="8"/>
      <c r="E1" s="8"/>
      <c r="F1" s="8"/>
      <c r="G1" s="8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</row>
    <row r="3" spans="1:129" s="1" customFormat="1">
      <c r="C3" s="23"/>
      <c r="D3" s="31"/>
      <c r="E3" s="24"/>
      <c r="F3" s="25"/>
      <c r="G3" s="26"/>
      <c r="H3" s="24"/>
      <c r="I3" s="24"/>
      <c r="J3" s="27"/>
      <c r="K3" s="26"/>
      <c r="L3" s="24"/>
      <c r="M3" s="27"/>
      <c r="N3" s="26"/>
      <c r="O3" s="24"/>
      <c r="P3" s="27"/>
      <c r="Q3" s="26"/>
      <c r="R3" s="24"/>
      <c r="S3" s="27"/>
      <c r="T3" s="28"/>
      <c r="U3" s="19"/>
      <c r="V3" s="19"/>
      <c r="W3" s="19"/>
      <c r="X3" s="19"/>
      <c r="Y3" s="19"/>
      <c r="Z3" s="19"/>
      <c r="AA3" s="19"/>
      <c r="AB3" s="19"/>
      <c r="AC3" s="19"/>
      <c r="AD3" s="20"/>
      <c r="AE3" s="19">
        <f>IF(C3="削除",99,1)</f>
        <v>1</v>
      </c>
      <c r="AF3" s="19"/>
      <c r="AG3" s="19"/>
      <c r="AH3" s="19"/>
      <c r="AI3" s="19"/>
    </row>
    <row r="4" spans="1:129" s="1" customFormat="1">
      <c r="C4" s="18" t="s">
        <v>91</v>
      </c>
      <c r="D4" s="18" t="s">
        <v>33</v>
      </c>
      <c r="E4" s="14" t="s">
        <v>92</v>
      </c>
      <c r="F4" s="16" t="s">
        <v>93</v>
      </c>
      <c r="G4" s="18" t="s">
        <v>94</v>
      </c>
      <c r="H4" s="14" t="s">
        <v>95</v>
      </c>
      <c r="I4" s="14" t="s">
        <v>96</v>
      </c>
      <c r="J4" s="15" t="s">
        <v>97</v>
      </c>
      <c r="K4" s="18" t="s">
        <v>98</v>
      </c>
      <c r="L4" s="14" t="s">
        <v>133</v>
      </c>
      <c r="M4" s="15" t="s">
        <v>99</v>
      </c>
      <c r="N4" s="18" t="s">
        <v>100</v>
      </c>
      <c r="O4" s="14" t="s">
        <v>134</v>
      </c>
      <c r="P4" s="15" t="s">
        <v>101</v>
      </c>
      <c r="Q4" s="18" t="s">
        <v>102</v>
      </c>
      <c r="R4" s="14" t="s">
        <v>135</v>
      </c>
      <c r="S4" s="15" t="s">
        <v>103</v>
      </c>
      <c r="T4" s="32" t="s">
        <v>104</v>
      </c>
      <c r="U4" s="21" t="s">
        <v>105</v>
      </c>
      <c r="V4" s="21" t="s">
        <v>106</v>
      </c>
      <c r="W4" s="21" t="s">
        <v>107</v>
      </c>
      <c r="X4" s="21" t="s">
        <v>108</v>
      </c>
      <c r="Y4" s="21" t="s">
        <v>109</v>
      </c>
      <c r="Z4" s="21" t="s">
        <v>110</v>
      </c>
      <c r="AA4" s="21" t="s">
        <v>111</v>
      </c>
      <c r="AB4" s="21" t="s">
        <v>112</v>
      </c>
      <c r="AC4" s="21" t="s">
        <v>113</v>
      </c>
      <c r="AD4" s="22" t="s">
        <v>114</v>
      </c>
      <c r="AE4" s="21" t="s">
        <v>23</v>
      </c>
      <c r="AF4" s="21" t="s">
        <v>25</v>
      </c>
      <c r="AG4" s="21" t="s">
        <v>27</v>
      </c>
      <c r="AH4" s="21" t="s">
        <v>29</v>
      </c>
      <c r="AI4" s="21" t="s">
        <v>31</v>
      </c>
    </row>
    <row r="5" spans="1:129" s="1" customFormat="1">
      <c r="C5" s="18" t="s">
        <v>90</v>
      </c>
      <c r="D5" s="18" t="s">
        <v>37</v>
      </c>
      <c r="E5" s="14" t="s">
        <v>60</v>
      </c>
      <c r="F5" s="16" t="s">
        <v>58</v>
      </c>
      <c r="G5" s="18" t="s">
        <v>84</v>
      </c>
      <c r="H5" s="14" t="s">
        <v>83</v>
      </c>
      <c r="I5" s="14" t="s">
        <v>57</v>
      </c>
      <c r="J5" s="15" t="s">
        <v>85</v>
      </c>
      <c r="K5" s="18" t="s">
        <v>48</v>
      </c>
      <c r="L5" s="14" t="s">
        <v>49</v>
      </c>
      <c r="M5" s="15" t="s">
        <v>50</v>
      </c>
      <c r="N5" s="18" t="s">
        <v>51</v>
      </c>
      <c r="O5" s="14" t="s">
        <v>52</v>
      </c>
      <c r="P5" s="15" t="s">
        <v>53</v>
      </c>
      <c r="Q5" s="18" t="s">
        <v>54</v>
      </c>
      <c r="R5" s="14" t="s">
        <v>55</v>
      </c>
      <c r="S5" s="15" t="s">
        <v>56</v>
      </c>
      <c r="T5" s="21" t="s">
        <v>59</v>
      </c>
      <c r="U5" s="21" t="s">
        <v>61</v>
      </c>
      <c r="V5" s="21" t="s">
        <v>62</v>
      </c>
      <c r="W5" s="21" t="s">
        <v>63</v>
      </c>
      <c r="X5" s="21" t="s">
        <v>64</v>
      </c>
      <c r="Y5" s="21" t="s">
        <v>65</v>
      </c>
      <c r="Z5" s="21" t="s">
        <v>66</v>
      </c>
      <c r="AA5" s="21" t="s">
        <v>67</v>
      </c>
      <c r="AB5" s="21" t="s">
        <v>68</v>
      </c>
      <c r="AC5" s="21" t="s">
        <v>69</v>
      </c>
      <c r="AD5" s="22" t="s">
        <v>70</v>
      </c>
      <c r="AE5" s="21" t="s">
        <v>24</v>
      </c>
      <c r="AF5" s="21" t="s">
        <v>26</v>
      </c>
      <c r="AG5" s="21" t="s">
        <v>28</v>
      </c>
      <c r="AH5" s="21" t="s">
        <v>30</v>
      </c>
      <c r="AI5" s="21" t="s">
        <v>32</v>
      </c>
    </row>
    <row r="6" spans="1:129">
      <c r="C6" s="43" t="s">
        <v>81</v>
      </c>
      <c r="D6" s="43" t="s">
        <v>37</v>
      </c>
      <c r="E6" s="48" t="s">
        <v>47</v>
      </c>
      <c r="F6" s="36" t="s">
        <v>38</v>
      </c>
      <c r="G6" s="43" t="s">
        <v>39</v>
      </c>
      <c r="H6" s="45"/>
      <c r="I6" s="45"/>
      <c r="J6" s="46"/>
      <c r="K6" s="43" t="s">
        <v>41</v>
      </c>
      <c r="L6" s="45"/>
      <c r="M6" s="46"/>
      <c r="N6" s="43" t="s">
        <v>42</v>
      </c>
      <c r="O6" s="45"/>
      <c r="P6" s="46"/>
      <c r="Q6" s="43" t="s">
        <v>43</v>
      </c>
      <c r="R6" s="45"/>
      <c r="S6" s="46"/>
      <c r="T6" s="41" t="s">
        <v>46</v>
      </c>
      <c r="U6" s="37" t="s">
        <v>71</v>
      </c>
      <c r="V6" s="37" t="s">
        <v>72</v>
      </c>
      <c r="W6" s="37" t="s">
        <v>73</v>
      </c>
      <c r="X6" s="37" t="s">
        <v>74</v>
      </c>
      <c r="Y6" s="37" t="s">
        <v>75</v>
      </c>
      <c r="Z6" s="37" t="s">
        <v>76</v>
      </c>
      <c r="AA6" s="37" t="s">
        <v>77</v>
      </c>
      <c r="AB6" s="37" t="s">
        <v>78</v>
      </c>
      <c r="AC6" s="37" t="s">
        <v>79</v>
      </c>
      <c r="AD6" s="39" t="s">
        <v>80</v>
      </c>
      <c r="AE6" s="37" t="s">
        <v>23</v>
      </c>
      <c r="AF6" s="37" t="s">
        <v>25</v>
      </c>
      <c r="AG6" s="37" t="s">
        <v>27</v>
      </c>
      <c r="AH6" s="37" t="s">
        <v>29</v>
      </c>
      <c r="AI6" s="37" t="s">
        <v>31</v>
      </c>
    </row>
    <row r="7" spans="1:129">
      <c r="C7" s="44"/>
      <c r="D7" s="44"/>
      <c r="E7" s="49"/>
      <c r="F7" s="47"/>
      <c r="G7" s="17" t="s">
        <v>35</v>
      </c>
      <c r="H7" s="12" t="s">
        <v>36</v>
      </c>
      <c r="I7" s="12" t="s">
        <v>40</v>
      </c>
      <c r="J7" s="13" t="s">
        <v>44</v>
      </c>
      <c r="K7" s="17" t="s">
        <v>35</v>
      </c>
      <c r="L7" s="12" t="s">
        <v>36</v>
      </c>
      <c r="M7" s="13" t="s">
        <v>45</v>
      </c>
      <c r="N7" s="17" t="s">
        <v>35</v>
      </c>
      <c r="O7" s="12" t="s">
        <v>36</v>
      </c>
      <c r="P7" s="13" t="s">
        <v>45</v>
      </c>
      <c r="Q7" s="17" t="s">
        <v>35</v>
      </c>
      <c r="R7" s="12" t="s">
        <v>36</v>
      </c>
      <c r="S7" s="13" t="s">
        <v>45</v>
      </c>
      <c r="T7" s="42"/>
      <c r="U7" s="38"/>
      <c r="V7" s="38"/>
      <c r="W7" s="38"/>
      <c r="X7" s="38"/>
      <c r="Y7" s="38"/>
      <c r="Z7" s="38"/>
      <c r="AA7" s="38"/>
      <c r="AB7" s="38"/>
      <c r="AC7" s="38"/>
      <c r="AD7" s="40"/>
      <c r="AE7" s="38"/>
      <c r="AF7" s="38"/>
      <c r="AG7" s="38"/>
      <c r="AH7" s="38"/>
      <c r="AI7" s="38"/>
    </row>
    <row r="8" spans="1:129">
      <c r="C8" s="2"/>
      <c r="D8" s="2"/>
      <c r="E8" s="3"/>
      <c r="F8" s="7"/>
      <c r="G8" s="30"/>
      <c r="H8" s="3"/>
      <c r="I8" s="3"/>
      <c r="J8" s="4"/>
      <c r="K8" s="2"/>
      <c r="L8" s="3"/>
      <c r="M8" s="4"/>
      <c r="N8" s="2"/>
      <c r="O8" s="3"/>
      <c r="P8" s="4"/>
      <c r="Q8" s="2"/>
      <c r="R8" s="3"/>
      <c r="S8" s="4"/>
      <c r="T8" s="19"/>
      <c r="U8" s="19"/>
      <c r="V8" s="19"/>
      <c r="W8" s="19"/>
      <c r="X8" s="19"/>
      <c r="Y8" s="19"/>
      <c r="Z8" s="19"/>
      <c r="AA8" s="19"/>
      <c r="AB8" s="19"/>
      <c r="AC8" s="19"/>
      <c r="AD8" s="20"/>
      <c r="AE8" s="19">
        <f>IF(C8="削除",99,1)</f>
        <v>1</v>
      </c>
      <c r="AF8" s="19"/>
      <c r="AG8" s="19"/>
      <c r="AH8" s="19"/>
      <c r="AI8" s="19"/>
    </row>
    <row r="9" spans="1:129">
      <c r="C9" s="2"/>
      <c r="D9" s="2"/>
      <c r="E9" s="3"/>
      <c r="F9" s="7"/>
      <c r="G9" s="2"/>
      <c r="H9" s="3"/>
      <c r="I9" s="3"/>
      <c r="J9" s="4"/>
      <c r="K9" s="2"/>
      <c r="L9" s="3"/>
      <c r="M9" s="4"/>
      <c r="N9" s="2"/>
      <c r="O9" s="3"/>
      <c r="P9" s="4"/>
      <c r="Q9" s="2"/>
      <c r="R9" s="3"/>
      <c r="S9" s="4"/>
      <c r="T9" s="19"/>
      <c r="U9" s="19"/>
      <c r="V9" s="19"/>
      <c r="W9" s="19"/>
      <c r="X9" s="19"/>
      <c r="Y9" s="19"/>
      <c r="Z9" s="19"/>
      <c r="AA9" s="19"/>
      <c r="AB9" s="19"/>
      <c r="AC9" s="19"/>
      <c r="AD9" s="20"/>
      <c r="AE9" s="19">
        <f>IF(C9="削除",99,1)</f>
        <v>1</v>
      </c>
      <c r="AF9" s="19"/>
      <c r="AG9" s="19"/>
      <c r="AH9" s="19"/>
      <c r="AI9" s="19"/>
    </row>
    <row r="10" spans="1:129">
      <c r="C10" s="2"/>
      <c r="D10" s="2"/>
      <c r="E10" s="3"/>
      <c r="F10" s="7"/>
      <c r="G10" s="2"/>
      <c r="H10" s="3"/>
      <c r="I10" s="3"/>
      <c r="J10" s="4"/>
      <c r="K10" s="2"/>
      <c r="L10" s="3"/>
      <c r="M10" s="4"/>
      <c r="N10" s="2"/>
      <c r="O10" s="3"/>
      <c r="P10" s="4"/>
      <c r="Q10" s="2"/>
      <c r="R10" s="3"/>
      <c r="S10" s="4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20"/>
      <c r="AE10" s="19">
        <f>IF(C10="削除",99,1)</f>
        <v>1</v>
      </c>
      <c r="AF10" s="19"/>
      <c r="AG10" s="19"/>
      <c r="AH10" s="19"/>
      <c r="AI10" s="19"/>
    </row>
    <row r="11" spans="1:129">
      <c r="C11" s="2"/>
      <c r="D11" s="2"/>
      <c r="E11" s="3"/>
      <c r="F11" s="7"/>
      <c r="G11" s="2"/>
      <c r="H11" s="3"/>
      <c r="I11" s="3"/>
      <c r="J11" s="4"/>
      <c r="K11" s="2"/>
      <c r="L11" s="3"/>
      <c r="M11" s="4"/>
      <c r="N11" s="2"/>
      <c r="O11" s="3"/>
      <c r="P11" s="4"/>
      <c r="Q11" s="2"/>
      <c r="R11" s="3"/>
      <c r="S11" s="4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20"/>
      <c r="AE11" s="19">
        <f>IF(C11="削除",99,1)</f>
        <v>1</v>
      </c>
      <c r="AF11" s="19"/>
      <c r="AG11" s="19"/>
      <c r="AH11" s="19"/>
      <c r="AI11" s="19"/>
    </row>
    <row r="12" spans="1:129">
      <c r="C12" s="2"/>
      <c r="D12" s="2"/>
      <c r="E12" s="3"/>
      <c r="F12" s="7"/>
      <c r="G12" s="2"/>
      <c r="H12" s="3"/>
      <c r="I12" s="3"/>
      <c r="J12" s="4"/>
      <c r="K12" s="2"/>
      <c r="L12" s="3"/>
      <c r="M12" s="4"/>
      <c r="N12" s="2"/>
      <c r="O12" s="3"/>
      <c r="P12" s="4"/>
      <c r="Q12" s="2"/>
      <c r="R12" s="3"/>
      <c r="S12" s="4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20"/>
      <c r="AE12" s="19">
        <f>IF(C12="削除",99,1)</f>
        <v>1</v>
      </c>
      <c r="AF12" s="19"/>
      <c r="AG12" s="19"/>
      <c r="AH12" s="19"/>
      <c r="AI12" s="19"/>
    </row>
  </sheetData>
  <sheetProtection autoFilter="0"/>
  <mergeCells count="24">
    <mergeCell ref="C6:C7"/>
    <mergeCell ref="Q6:S6"/>
    <mergeCell ref="N6:P6"/>
    <mergeCell ref="K6:M6"/>
    <mergeCell ref="G6:J6"/>
    <mergeCell ref="D6:D7"/>
    <mergeCell ref="F6:F7"/>
    <mergeCell ref="E6:E7"/>
    <mergeCell ref="AD6:AD7"/>
    <mergeCell ref="T6:T7"/>
    <mergeCell ref="U6:U7"/>
    <mergeCell ref="V6:V7"/>
    <mergeCell ref="W6:W7"/>
    <mergeCell ref="X6:X7"/>
    <mergeCell ref="Y6:Y7"/>
    <mergeCell ref="Z6:Z7"/>
    <mergeCell ref="AA6:AA7"/>
    <mergeCell ref="AB6:AB7"/>
    <mergeCell ref="AC6:AC7"/>
    <mergeCell ref="AI6:AI7"/>
    <mergeCell ref="AH6:AH7"/>
    <mergeCell ref="AG6:AG7"/>
    <mergeCell ref="AF6:AF7"/>
    <mergeCell ref="AE6:AE7"/>
  </mergeCells>
  <phoneticPr fontId="1"/>
  <dataValidations count="3">
    <dataValidation type="list" allowBlank="1" showInputMessage="1" showErrorMessage="1" sqref="E8:E12 E3">
      <formula1>"JR,SS"</formula1>
    </dataValidation>
    <dataValidation type="list" allowBlank="1" showInputMessage="1" showErrorMessage="1" sqref="F8 F3">
      <formula1>"質問,指摘事項,その他"</formula1>
    </dataValidation>
    <dataValidation type="list" allowBlank="1" showInputMessage="1" showErrorMessage="1" sqref="C8:C12 C3">
      <formula1>"削除"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91"/>
  <dimension ref="A1:H4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0" sqref="C40"/>
    </sheetView>
  </sheetViews>
  <sheetFormatPr defaultRowHeight="13.5"/>
  <cols>
    <col min="1" max="1" width="21.5" bestFit="1" customWidth="1"/>
    <col min="2" max="2" width="30.25" bestFit="1" customWidth="1"/>
    <col min="3" max="3" width="12.25" bestFit="1" customWidth="1"/>
  </cols>
  <sheetData>
    <row r="1" spans="1:3">
      <c r="A1" s="6" t="s">
        <v>119</v>
      </c>
      <c r="B1" s="6" t="s">
        <v>117</v>
      </c>
      <c r="C1" s="6" t="s">
        <v>136</v>
      </c>
    </row>
    <row r="2" spans="1:3">
      <c r="A2" s="6" t="s">
        <v>18</v>
      </c>
      <c r="B2" s="5"/>
      <c r="C2" s="5"/>
    </row>
    <row r="3" spans="1:3">
      <c r="A3" s="6" t="s">
        <v>3</v>
      </c>
      <c r="B3" s="5" t="str">
        <f>IF(B2=1,"メニューバー非表示","メニューバー表示")</f>
        <v>メニューバー表示</v>
      </c>
      <c r="C3" s="5"/>
    </row>
    <row r="4" spans="1:3">
      <c r="A4" s="6" t="s">
        <v>4</v>
      </c>
      <c r="B4" s="5"/>
      <c r="C4" s="5"/>
    </row>
    <row r="5" spans="1:3">
      <c r="A5" s="6" t="s">
        <v>5</v>
      </c>
      <c r="B5" s="5" t="str">
        <f>IF(B4=1,"マニュアル非表示","マニュアル表示")</f>
        <v>マニュアル表示</v>
      </c>
      <c r="C5" s="5"/>
    </row>
    <row r="6" spans="1:3">
      <c r="A6" s="6" t="s">
        <v>6</v>
      </c>
      <c r="B6" s="5">
        <v>201604010</v>
      </c>
      <c r="C6" s="5"/>
    </row>
    <row r="7" spans="1:3">
      <c r="A7" s="6" t="s">
        <v>7</v>
      </c>
      <c r="B7" s="5"/>
      <c r="C7" s="5"/>
    </row>
    <row r="8" spans="1:3">
      <c r="A8" s="6" t="s">
        <v>8</v>
      </c>
      <c r="B8" s="5" t="s">
        <v>82</v>
      </c>
      <c r="C8" s="5"/>
    </row>
    <row r="9" spans="1:3">
      <c r="A9" s="6" t="s">
        <v>21</v>
      </c>
      <c r="B9" s="5" t="b">
        <f>IF(OR(LEFT(メニュー識別名,3)="M33",LEFT(メニュー識別名,3)="M43"),"予算調書",IF(OR(LEFT(メニュー識別名,3)="M34",LEFT(メニュー識別名,3)="M44"),"予算実施書"))</f>
        <v>0</v>
      </c>
      <c r="C9" s="5"/>
    </row>
    <row r="10" spans="1:3">
      <c r="A10" s="6" t="s">
        <v>9</v>
      </c>
      <c r="B10" s="5" t="s">
        <v>137</v>
      </c>
      <c r="C10" s="5"/>
    </row>
    <row r="11" spans="1:3" s="1" customFormat="1">
      <c r="A11" s="6" t="s">
        <v>116</v>
      </c>
      <c r="B11" s="5">
        <f>MATCH(アクティブシート名,A1:C1,0)</f>
        <v>3</v>
      </c>
      <c r="C11" s="5"/>
    </row>
    <row r="12" spans="1:3">
      <c r="A12" s="6" t="s">
        <v>10</v>
      </c>
      <c r="B12" s="5"/>
      <c r="C12" s="5"/>
    </row>
    <row r="13" spans="1:3">
      <c r="A13" s="6" t="s">
        <v>11</v>
      </c>
      <c r="B13" s="5" t="str">
        <f>IF(権限=201604011,IF(遷移モード="他メニュー","非表示","表示"),"非表示")</f>
        <v>非表示</v>
      </c>
      <c r="C13" s="5"/>
    </row>
    <row r="14" spans="1:3">
      <c r="A14" s="6" t="s">
        <v>12</v>
      </c>
      <c r="B14" s="5" t="s">
        <v>1</v>
      </c>
      <c r="C14" s="5"/>
    </row>
    <row r="15" spans="1:3">
      <c r="A15" s="6" t="s">
        <v>17</v>
      </c>
      <c r="B15" s="5" t="str">
        <f>IF(OR(権限=201604009,権限=201704009),"閲覧",IF(権限=201604010,"編集",IF(権限=201604011,IF(PWD種類="件名別",IF(締めフラグ=1,"閲覧","編集"),IF(PWD種類="発議部","閲覧")))))</f>
        <v>編集</v>
      </c>
      <c r="C15" s="5"/>
    </row>
    <row r="16" spans="1:3">
      <c r="A16" s="6" t="s">
        <v>22</v>
      </c>
      <c r="B16" s="5" t="s">
        <v>2</v>
      </c>
      <c r="C16" s="5"/>
    </row>
    <row r="17" spans="1:3">
      <c r="A17" s="6" t="s">
        <v>13</v>
      </c>
      <c r="B17" s="5" t="str">
        <f>IF(調書入力モード="予算調書入力","予算実施書切替",IF(調書入力モード="予算実施書入力","予算調書切替"))</f>
        <v>予算実施書切替</v>
      </c>
      <c r="C17" s="5"/>
    </row>
    <row r="18" spans="1:3">
      <c r="A18" s="6" t="s">
        <v>14</v>
      </c>
      <c r="B18" s="5">
        <v>2018</v>
      </c>
      <c r="C18" s="5"/>
    </row>
    <row r="19" spans="1:3">
      <c r="A19" s="6" t="s">
        <v>0</v>
      </c>
      <c r="B19" s="5">
        <v>9001</v>
      </c>
      <c r="C19" s="5"/>
    </row>
    <row r="20" spans="1:3">
      <c r="A20" s="6" t="s">
        <v>15</v>
      </c>
      <c r="B20" s="5"/>
      <c r="C20" s="5"/>
    </row>
    <row r="21" spans="1:3">
      <c r="A21" s="6" t="s">
        <v>20</v>
      </c>
      <c r="B21" s="5"/>
      <c r="C21" s="5"/>
    </row>
    <row r="22" spans="1:3">
      <c r="A22" s="6" t="s">
        <v>19</v>
      </c>
      <c r="B22" s="5" t="s">
        <v>16</v>
      </c>
      <c r="C22" s="5"/>
    </row>
    <row r="23" spans="1:3">
      <c r="A23" s="6" t="s">
        <v>86</v>
      </c>
      <c r="B23" s="33" t="e">
        <f ca="1">メニュー名&amp;"("&amp;ログイン年度&amp;調書NO&amp;"_"&amp;TEXT(NOW(),"yymmddhhmmss")&amp;").xlsx"</f>
        <v>#NAME?</v>
      </c>
      <c r="C23" s="5"/>
    </row>
    <row r="24" spans="1:3">
      <c r="A24" s="6" t="s">
        <v>87</v>
      </c>
      <c r="B24" s="34">
        <v>43411.402743055558</v>
      </c>
      <c r="C24" s="5"/>
    </row>
    <row r="25" spans="1:3">
      <c r="A25" s="6" t="s">
        <v>88</v>
      </c>
      <c r="B25" s="33">
        <f>サーバー時刻</f>
        <v>43411.402743055558</v>
      </c>
      <c r="C25" s="5"/>
    </row>
    <row r="26" spans="1:3">
      <c r="A26" s="6" t="s">
        <v>89</v>
      </c>
      <c r="B26" s="35">
        <f>サーバー時刻</f>
        <v>43411.402743055558</v>
      </c>
      <c r="C26" s="5"/>
    </row>
    <row r="27" spans="1:3">
      <c r="A27" s="6" t="s">
        <v>124</v>
      </c>
      <c r="B27" s="5">
        <f t="shared" ref="B27:B40" ca="1" si="0">INDIRECT(SUBSTITUTE(ADDRESS(1,dbscset列数,4),1,"")&amp;ROW())</f>
        <v>3</v>
      </c>
      <c r="C27" s="5">
        <v>3</v>
      </c>
    </row>
    <row r="28" spans="1:3" s="1" customFormat="1">
      <c r="A28" s="6" t="s">
        <v>123</v>
      </c>
      <c r="B28" s="5">
        <f t="shared" ca="1" si="0"/>
        <v>4</v>
      </c>
      <c r="C28" s="5">
        <v>4</v>
      </c>
    </row>
    <row r="29" spans="1:3" s="1" customFormat="1">
      <c r="A29" s="6" t="s">
        <v>122</v>
      </c>
      <c r="B29" s="5">
        <f t="shared" ca="1" si="0"/>
        <v>5</v>
      </c>
      <c r="C29" s="5">
        <v>5</v>
      </c>
    </row>
    <row r="30" spans="1:3">
      <c r="A30" s="6" t="s">
        <v>120</v>
      </c>
      <c r="B30" s="5">
        <f t="shared" ca="1" si="0"/>
        <v>6</v>
      </c>
      <c r="C30" s="5">
        <v>6</v>
      </c>
    </row>
    <row r="31" spans="1:3" s="1" customFormat="1">
      <c r="A31" s="6" t="s">
        <v>121</v>
      </c>
      <c r="B31" s="5">
        <f t="shared" ca="1" si="0"/>
        <v>7</v>
      </c>
      <c r="C31" s="5">
        <v>7</v>
      </c>
    </row>
    <row r="32" spans="1:3">
      <c r="A32" s="6" t="s">
        <v>125</v>
      </c>
      <c r="B32" s="5">
        <f t="shared" ca="1" si="0"/>
        <v>8</v>
      </c>
      <c r="C32" s="5">
        <v>8</v>
      </c>
    </row>
    <row r="33" spans="1:3">
      <c r="A33" s="6" t="s">
        <v>127</v>
      </c>
      <c r="B33" s="5">
        <f t="shared" ca="1" si="0"/>
        <v>28</v>
      </c>
      <c r="C33" s="5">
        <f>C32+C36</f>
        <v>28</v>
      </c>
    </row>
    <row r="34" spans="1:3">
      <c r="A34" s="6" t="s">
        <v>128</v>
      </c>
      <c r="B34" s="5">
        <f t="shared" ca="1" si="0"/>
        <v>10</v>
      </c>
      <c r="C34" s="5">
        <v>10</v>
      </c>
    </row>
    <row r="35" spans="1:3">
      <c r="A35" s="6" t="s">
        <v>126</v>
      </c>
      <c r="B35" s="5">
        <f t="shared" ca="1" si="0"/>
        <v>10</v>
      </c>
      <c r="C35" s="5">
        <v>10</v>
      </c>
    </row>
    <row r="36" spans="1:3" s="1" customFormat="1">
      <c r="A36" s="6" t="s">
        <v>118</v>
      </c>
      <c r="B36" s="5">
        <f t="shared" ca="1" si="0"/>
        <v>20</v>
      </c>
      <c r="C36" s="5">
        <f>C35+C34</f>
        <v>20</v>
      </c>
    </row>
    <row r="37" spans="1:3">
      <c r="A37" s="6" t="s">
        <v>115</v>
      </c>
      <c r="B37" s="5">
        <f t="shared" ca="1" si="0"/>
        <v>0</v>
      </c>
      <c r="C37" s="5">
        <f>COUNTA(OPINIO_V!D:D)-COUNTA(OPINIO_V!D1:D7)</f>
        <v>0</v>
      </c>
    </row>
    <row r="38" spans="1:3" s="1" customFormat="1">
      <c r="A38" s="6" t="s">
        <v>130</v>
      </c>
      <c r="B38" s="5" t="str">
        <f t="shared" ca="1" si="0"/>
        <v>D</v>
      </c>
      <c r="C38" s="5" t="s">
        <v>129</v>
      </c>
    </row>
    <row r="39" spans="1:3">
      <c r="A39" s="6" t="s">
        <v>132</v>
      </c>
      <c r="B39" s="5" t="str">
        <f t="shared" ca="1" si="0"/>
        <v>OPINIO_V!D8</v>
      </c>
      <c r="C39" s="5" t="str">
        <f>C1&amp;"!"&amp;C38&amp;C32</f>
        <v>OPINIO_V!D8</v>
      </c>
    </row>
    <row r="40" spans="1:3">
      <c r="A40" s="6" t="s">
        <v>131</v>
      </c>
      <c r="B40" s="5" t="str">
        <f t="shared" ca="1" si="0"/>
        <v>$C$32</v>
      </c>
      <c r="C40" s="5" t="str">
        <f>ADDRESS(ROW(入力開始行数),dbscset列数)</f>
        <v>$C$32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41</vt:i4>
      </vt:variant>
    </vt:vector>
  </HeadingPairs>
  <TitlesOfParts>
    <vt:vector size="43" baseType="lpstr">
      <vt:lpstr>OPINIO_V</vt:lpstr>
      <vt:lpstr>dbscset</vt:lpstr>
      <vt:lpstr>dbscset列数</vt:lpstr>
      <vt:lpstr>MNO</vt:lpstr>
      <vt:lpstr>PWDForm表示フラグ</vt:lpstr>
      <vt:lpstr>PWD種類</vt:lpstr>
      <vt:lpstr>アクティブシート名</vt:lpstr>
      <vt:lpstr>コピー元行数</vt:lpstr>
      <vt:lpstr>サーバー時刻</vt:lpstr>
      <vt:lpstr>サーバー日付</vt:lpstr>
      <vt:lpstr>シート区分</vt:lpstr>
      <vt:lpstr>データ開始セル位置</vt:lpstr>
      <vt:lpstr>マニュアルボタン名</vt:lpstr>
      <vt:lpstr>マニュアル表示フラグ</vt:lpstr>
      <vt:lpstr>メニューバーボタン名</vt:lpstr>
      <vt:lpstr>メニューバー表示フラグ</vt:lpstr>
      <vt:lpstr>メニュー識別名</vt:lpstr>
      <vt:lpstr>ログイン時間</vt:lpstr>
      <vt:lpstr>ログイン年月日</vt:lpstr>
      <vt:lpstr>ログイン年度</vt:lpstr>
      <vt:lpstr>英語カラム名行数</vt:lpstr>
      <vt:lpstr>権限</vt:lpstr>
      <vt:lpstr>見出し開始行数</vt:lpstr>
      <vt:lpstr>見出し終了行数</vt:lpstr>
      <vt:lpstr>更新行数</vt:lpstr>
      <vt:lpstr>主キー列名</vt:lpstr>
      <vt:lpstr>出力ファイル名</vt:lpstr>
      <vt:lpstr>遷移モード</vt:lpstr>
      <vt:lpstr>挿入行数</vt:lpstr>
      <vt:lpstr>調書NO</vt:lpstr>
      <vt:lpstr>調書モード切替ボタン名</vt:lpstr>
      <vt:lpstr>調書入力モード</vt:lpstr>
      <vt:lpstr>追加行数</vt:lpstr>
      <vt:lpstr>締めフラグ</vt:lpstr>
      <vt:lpstr>読込開始セル位置</vt:lpstr>
      <vt:lpstr>読込件数</vt:lpstr>
      <vt:lpstr>読込件数出力セル位置</vt:lpstr>
      <vt:lpstr>日本語カラム名行数</vt:lpstr>
      <vt:lpstr>入力開始行数</vt:lpstr>
      <vt:lpstr>入力終了行数</vt:lpstr>
      <vt:lpstr>入力書類</vt:lpstr>
      <vt:lpstr>入力制限フラグ</vt:lpstr>
      <vt:lpstr>入力制限メッセージ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JR九州</dc:creator>
  <cp:lastModifiedBy>JR九州</cp:lastModifiedBy>
  <dcterms:created xsi:type="dcterms:W3CDTF">2017-10-23T05:15:58Z</dcterms:created>
  <dcterms:modified xsi:type="dcterms:W3CDTF">2017-11-10T09:08:53Z</dcterms:modified>
</cp:coreProperties>
</file>