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35" windowWidth="18315" windowHeight="11400" activeTab="2"/>
  </bookViews>
  <sheets>
    <sheet name="AreaTest" sheetId="1" r:id="rId1"/>
    <sheet name="OPINIO_V" sheetId="4" r:id="rId2"/>
    <sheet name="dbscset" sheetId="5" r:id="rId3"/>
    <sheet name="STY010_V" sheetId="8" r:id="rId4"/>
  </sheets>
  <functionGroups builtInGroupCount="17"/>
  <definedNames>
    <definedName name="_xlnm._FilterDatabase" localSheetId="2" hidden="1">dbscset!$A$1:$D$73</definedName>
    <definedName name="_xlnm._FilterDatabase" localSheetId="1" hidden="1">OPINIO_V!$C$6:$AI$10</definedName>
    <definedName name="dbscset列数">dbscset!$C$18</definedName>
    <definedName name="MNO">dbscset!$C$14</definedName>
    <definedName name="PWDForm表示フラグ">dbscset!$C$20</definedName>
    <definedName name="PWD種類">dbscset!$C$21</definedName>
    <definedName name="アクティブシート名">dbscset!$C$17</definedName>
    <definedName name="コピー元行数">dbscset!$C$30</definedName>
    <definedName name="サーバー時刻">dbscset!$C$2</definedName>
    <definedName name="サーバー日付">dbscset!$C$2</definedName>
    <definedName name="シート区分">dbscset!$C$22</definedName>
    <definedName name="データ開始位置">dbscset!$C$62</definedName>
    <definedName name="マニュアルボタン名">dbscset!$C$13</definedName>
    <definedName name="マニュアル表示フラグ">dbscset!$C$12</definedName>
    <definedName name="メニューバーボタン名">dbscset!$C$11</definedName>
    <definedName name="メニューバー表示フラグ">dbscset!$C$10</definedName>
    <definedName name="メニュー識別名">dbscset!$C$15</definedName>
    <definedName name="ログイン時間">dbscset!$C$4</definedName>
    <definedName name="ログイン年月日">dbscset!$C$3</definedName>
    <definedName name="ログイン年度">dbscset!$C$5</definedName>
    <definedName name="英語カラム名行数">dbscset!$C$32</definedName>
    <definedName name="権限">dbscset!$C$7</definedName>
    <definedName name="見出し開始行数">dbscset!$C$33</definedName>
    <definedName name="見出し終了行数">dbscset!$C$34</definedName>
    <definedName name="御意見番見出し">OFFSET(OPINIO_V!$C$4,0,0, 1,COUNTA(OPINIO_V!$4:$4))</definedName>
    <definedName name="更新行数">dbscset!$C$42</definedName>
    <definedName name="主キー列名">dbscset!$C$51</definedName>
    <definedName name="出力ファイル名">dbscset!$C$29</definedName>
    <definedName name="遷移モード">dbscset!$C$19</definedName>
    <definedName name="挿入行数">dbscset!$C$41</definedName>
    <definedName name="調書NO">dbscset!$C$25</definedName>
    <definedName name="調書モード切替ボタン名">dbscset!$C$24</definedName>
    <definedName name="調書入力モード">dbscset!$C$23</definedName>
    <definedName name="追加行数">dbscset!$C$40</definedName>
    <definedName name="締めフラグ">dbscset!$C$26</definedName>
    <definedName name="読込開始セル位置">dbscset!$C$62</definedName>
    <definedName name="読込件数">dbscset!$C$39</definedName>
    <definedName name="読込件数出力セル位置">dbscset!$C$70</definedName>
    <definedName name="入力開始行数">dbscset!$C$35</definedName>
    <definedName name="入力終了行数">dbscset!$C$38</definedName>
    <definedName name="入力書類">dbscset!$C$16</definedName>
    <definedName name="入力制限フラグ">dbscset!$C$27</definedName>
    <definedName name="入力制限メッセージ">dbscset!$C$28</definedName>
  </definedNames>
  <calcPr calcId="145621"/>
</workbook>
</file>

<file path=xl/calcChain.xml><?xml version="1.0" encoding="utf-8"?>
<calcChain xmlns="http://schemas.openxmlformats.org/spreadsheetml/2006/main">
  <c r="E64" i="5" l="1"/>
  <c r="E73" i="5"/>
  <c r="AU29" i="8"/>
  <c r="AU28" i="8"/>
  <c r="AU27" i="8"/>
  <c r="AU26" i="8"/>
  <c r="AU25" i="8"/>
  <c r="AU24" i="8"/>
  <c r="AU23" i="8"/>
  <c r="AU22" i="8"/>
  <c r="AU19" i="8"/>
  <c r="AU18" i="8"/>
  <c r="AU17" i="8"/>
  <c r="AU16" i="8"/>
  <c r="AU15" i="8"/>
  <c r="AU14" i="8"/>
  <c r="AU12" i="8"/>
  <c r="AU11" i="8"/>
  <c r="AU9" i="8"/>
  <c r="AU8" i="8"/>
  <c r="AU7" i="8"/>
  <c r="E65" i="5"/>
  <c r="E63" i="5"/>
  <c r="E62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E2" i="5"/>
  <c r="D73" i="5"/>
  <c r="AE12" i="4"/>
  <c r="AE11" i="4"/>
  <c r="AE10" i="4"/>
  <c r="AE9" i="4"/>
  <c r="AE8" i="4"/>
  <c r="AE7" i="4"/>
  <c r="E61" i="5"/>
  <c r="E68" i="5"/>
  <c r="D68" i="5" l="1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2" i="5"/>
  <c r="D62" i="5"/>
  <c r="C29" i="5"/>
  <c r="C18" i="5"/>
  <c r="D59" i="5"/>
  <c r="D56" i="5"/>
  <c r="C73" i="5"/>
  <c r="C44" i="5"/>
  <c r="C50" i="5"/>
  <c r="C59" i="5"/>
  <c r="C49" i="5"/>
  <c r="C72" i="5"/>
  <c r="C40" i="5"/>
  <c r="C31" i="5"/>
  <c r="C39" i="5"/>
  <c r="C46" i="5"/>
  <c r="C52" i="5"/>
  <c r="C68" i="5"/>
  <c r="C51" i="5"/>
  <c r="C32" i="5"/>
  <c r="C45" i="5"/>
  <c r="C33" i="5"/>
  <c r="C43" i="5"/>
  <c r="C48" i="5"/>
  <c r="C54" i="5"/>
  <c r="C71" i="5"/>
  <c r="C56" i="5"/>
  <c r="C34" i="5"/>
  <c r="C47" i="5"/>
  <c r="C35" i="5"/>
  <c r="E70" i="5" l="1"/>
  <c r="D55" i="5"/>
  <c r="D58" i="5"/>
  <c r="D57" i="5"/>
  <c r="C69" i="5"/>
  <c r="C58" i="5"/>
  <c r="C62" i="5"/>
  <c r="C57" i="5"/>
  <c r="C55" i="5"/>
  <c r="D41" i="5" l="1"/>
  <c r="C4" i="5"/>
  <c r="C3" i="5"/>
  <c r="C24" i="5"/>
  <c r="C22" i="5"/>
  <c r="D53" i="5" s="1"/>
  <c r="C20" i="5"/>
  <c r="C16" i="5"/>
  <c r="C13" i="5"/>
  <c r="C11" i="5"/>
  <c r="AE3" i="4"/>
  <c r="C41" i="5"/>
  <c r="C53" i="5"/>
  <c r="D38" i="5" l="1"/>
  <c r="D65" i="5" s="1"/>
  <c r="D70" i="5"/>
  <c r="D37" i="5" a="1"/>
  <c r="D36" i="5" a="1"/>
  <c r="C38" i="5"/>
  <c r="C70" i="5"/>
  <c r="C65" i="5"/>
  <c r="C30" i="5"/>
  <c r="D36" i="5" l="1"/>
  <c r="D37" i="5"/>
  <c r="D42" i="5" s="1"/>
  <c r="D67" i="5"/>
  <c r="D66" i="5"/>
  <c r="D61" i="5"/>
  <c r="D60" i="5"/>
  <c r="C67" i="5"/>
  <c r="C61" i="5"/>
  <c r="C36" i="5"/>
  <c r="C37" i="5"/>
  <c r="C60" i="5"/>
  <c r="C66" i="5"/>
  <c r="D64" i="5" l="1"/>
  <c r="D63" i="5"/>
  <c r="C42" i="5"/>
  <c r="C64" i="5"/>
  <c r="C63" i="5"/>
</calcChain>
</file>

<file path=xl/sharedStrings.xml><?xml version="1.0" encoding="utf-8"?>
<sst xmlns="http://schemas.openxmlformats.org/spreadsheetml/2006/main" count="325" uniqueCount="241">
  <si>
    <t>　御意見番</t>
    <rPh sb="1" eb="2">
      <t>ゴ</t>
    </rPh>
    <rPh sb="2" eb="4">
      <t>イケン</t>
    </rPh>
    <rPh sb="4" eb="5">
      <t>バン</t>
    </rPh>
    <phoneticPr fontId="2"/>
  </si>
  <si>
    <t>削除</t>
    <rPh sb="0" eb="2">
      <t>サクジョ</t>
    </rPh>
    <phoneticPr fontId="2"/>
  </si>
  <si>
    <t>DBS_STATUS</t>
  </si>
  <si>
    <t>DBS_CREATE_USER</t>
  </si>
  <si>
    <t>DBS_CREATE_DATE</t>
  </si>
  <si>
    <t>DBS_UPDATE_USER</t>
  </si>
  <si>
    <t>DBS_UPDATE_DATE</t>
  </si>
  <si>
    <t>DEL</t>
    <phoneticPr fontId="2"/>
  </si>
  <si>
    <t>NO</t>
    <phoneticPr fontId="2"/>
  </si>
  <si>
    <t>SOURCE</t>
    <phoneticPr fontId="2"/>
  </si>
  <si>
    <t>CLASS</t>
    <phoneticPr fontId="2"/>
  </si>
  <si>
    <t>Q1_NAME</t>
    <phoneticPr fontId="2"/>
  </si>
  <si>
    <t>Q1_SHEET</t>
  </si>
  <si>
    <t>A1_DATE</t>
    <phoneticPr fontId="2"/>
  </si>
  <si>
    <t>A1_NAME</t>
    <phoneticPr fontId="2"/>
  </si>
  <si>
    <t>A1_SUBJECT</t>
    <phoneticPr fontId="2"/>
  </si>
  <si>
    <t>A2_DATE</t>
  </si>
  <si>
    <t>A2_NAME</t>
  </si>
  <si>
    <t>A2_SUBJECT</t>
  </si>
  <si>
    <t>A3_DATE</t>
  </si>
  <si>
    <t>A3_NAME</t>
  </si>
  <si>
    <t>REMARKS</t>
    <phoneticPr fontId="2"/>
  </si>
  <si>
    <t>DUMMY1</t>
    <phoneticPr fontId="2"/>
  </si>
  <si>
    <t>DUMMY2</t>
  </si>
  <si>
    <t>DUMMY3</t>
  </si>
  <si>
    <t>DUMMY4</t>
  </si>
  <si>
    <t>DUMMY5</t>
  </si>
  <si>
    <t>DUMMY6</t>
  </si>
  <si>
    <t>DUMMY7</t>
  </si>
  <si>
    <t>DUMMY8</t>
  </si>
  <si>
    <t>DUMMY9</t>
  </si>
  <si>
    <t>DUMMY10</t>
  </si>
  <si>
    <t>DBS_STATUS</t>
    <phoneticPr fontId="2"/>
  </si>
  <si>
    <t>DBS_CREATE_USER</t>
    <phoneticPr fontId="2"/>
  </si>
  <si>
    <t>DBS_CREATE_DATE</t>
    <phoneticPr fontId="2"/>
  </si>
  <si>
    <t>DBS_UPDATE_USER</t>
    <phoneticPr fontId="2"/>
  </si>
  <si>
    <t>DBS_UPDATE_DATE</t>
    <phoneticPr fontId="2"/>
  </si>
  <si>
    <r>
      <t xml:space="preserve">発信元
</t>
    </r>
    <r>
      <rPr>
        <b/>
        <sz val="10"/>
        <color theme="0"/>
        <rFont val="ＭＳ Ｐゴシック"/>
        <family val="3"/>
        <charset val="128"/>
        <scheme val="minor"/>
      </rPr>
      <t>（JRorSS）</t>
    </r>
    <rPh sb="0" eb="2">
      <t>ハッシン</t>
    </rPh>
    <rPh sb="2" eb="3">
      <t>モト</t>
    </rPh>
    <phoneticPr fontId="2"/>
  </si>
  <si>
    <t>分類</t>
    <rPh sb="0" eb="2">
      <t>ブンルイ</t>
    </rPh>
    <phoneticPr fontId="2"/>
  </si>
  <si>
    <t>質問事項</t>
    <rPh sb="0" eb="2">
      <t>シツモン</t>
    </rPh>
    <rPh sb="2" eb="4">
      <t>ジコウ</t>
    </rPh>
    <phoneticPr fontId="2"/>
  </si>
  <si>
    <t>回答１</t>
    <rPh sb="0" eb="2">
      <t>カイトウ</t>
    </rPh>
    <phoneticPr fontId="2"/>
  </si>
  <si>
    <t>回答２</t>
    <rPh sb="0" eb="2">
      <t>カイトウ</t>
    </rPh>
    <phoneticPr fontId="2"/>
  </si>
  <si>
    <t>回答３</t>
    <rPh sb="0" eb="2">
      <t>カイトウ</t>
    </rPh>
    <phoneticPr fontId="2"/>
  </si>
  <si>
    <t>備考</t>
    <rPh sb="0" eb="2">
      <t>ビコウ</t>
    </rPh>
    <phoneticPr fontId="2"/>
  </si>
  <si>
    <t>予備１</t>
    <rPh sb="0" eb="2">
      <t>ヨビ</t>
    </rPh>
    <phoneticPr fontId="2"/>
  </si>
  <si>
    <t>予備２</t>
    <rPh sb="0" eb="2">
      <t>ヨビ</t>
    </rPh>
    <phoneticPr fontId="2"/>
  </si>
  <si>
    <t>予備３</t>
    <rPh sb="0" eb="2">
      <t>ヨビ</t>
    </rPh>
    <phoneticPr fontId="2"/>
  </si>
  <si>
    <t>予備４</t>
    <rPh sb="0" eb="2">
      <t>ヨビ</t>
    </rPh>
    <phoneticPr fontId="2"/>
  </si>
  <si>
    <t>予備５</t>
    <rPh sb="0" eb="2">
      <t>ヨビ</t>
    </rPh>
    <phoneticPr fontId="2"/>
  </si>
  <si>
    <t>予備６</t>
    <rPh sb="0" eb="2">
      <t>ヨビ</t>
    </rPh>
    <phoneticPr fontId="2"/>
  </si>
  <si>
    <t>予備７</t>
    <rPh sb="0" eb="2">
      <t>ヨビ</t>
    </rPh>
    <phoneticPr fontId="2"/>
  </si>
  <si>
    <t>予備８</t>
    <rPh sb="0" eb="2">
      <t>ヨビ</t>
    </rPh>
    <phoneticPr fontId="2"/>
  </si>
  <si>
    <t>予備９</t>
    <rPh sb="0" eb="2">
      <t>ヨビ</t>
    </rPh>
    <phoneticPr fontId="2"/>
  </si>
  <si>
    <t>予備１０</t>
    <rPh sb="0" eb="2">
      <t>ヨビ</t>
    </rPh>
    <phoneticPr fontId="2"/>
  </si>
  <si>
    <t>年月日</t>
    <rPh sb="0" eb="1">
      <t>ネン</t>
    </rPh>
    <rPh sb="1" eb="2">
      <t>ガツ</t>
    </rPh>
    <rPh sb="2" eb="3">
      <t>ヒ</t>
    </rPh>
    <phoneticPr fontId="2"/>
  </si>
  <si>
    <t>担当</t>
    <rPh sb="0" eb="2">
      <t>タントウ</t>
    </rPh>
    <phoneticPr fontId="2"/>
  </si>
  <si>
    <t>対象シート</t>
    <rPh sb="0" eb="2">
      <t>タイショウ</t>
    </rPh>
    <phoneticPr fontId="2"/>
  </si>
  <si>
    <t>質問内容</t>
    <rPh sb="0" eb="2">
      <t>シツモン</t>
    </rPh>
    <rPh sb="2" eb="4">
      <t>ナイヨウイヨウ</t>
    </rPh>
    <phoneticPr fontId="2"/>
  </si>
  <si>
    <t>回答内容</t>
    <rPh sb="0" eb="2">
      <t>カイトウ</t>
    </rPh>
    <rPh sb="2" eb="4">
      <t>ナイヨウ</t>
    </rPh>
    <phoneticPr fontId="2"/>
  </si>
  <si>
    <t>dbscset見出し</t>
    <rPh sb="7" eb="9">
      <t>ミダ</t>
    </rPh>
    <phoneticPr fontId="2"/>
  </si>
  <si>
    <t>共通</t>
    <rPh sb="0" eb="2">
      <t>キョウツウ</t>
    </rPh>
    <phoneticPr fontId="2"/>
  </si>
  <si>
    <t>OPINIO_V</t>
    <phoneticPr fontId="2"/>
  </si>
  <si>
    <t>メニューバー表示フラグ</t>
    <phoneticPr fontId="2"/>
  </si>
  <si>
    <t>メニューバーボタン名</t>
  </si>
  <si>
    <t>マニュアル表示フラグ</t>
  </si>
  <si>
    <t>マニュアルボタン名</t>
  </si>
  <si>
    <t>権限</t>
  </si>
  <si>
    <t>MNO</t>
  </si>
  <si>
    <t>メニュー識別名</t>
  </si>
  <si>
    <t>M60_OPINIO_V</t>
    <phoneticPr fontId="2"/>
  </si>
  <si>
    <t>入力書類</t>
    <phoneticPr fontId="2"/>
  </si>
  <si>
    <t>アクティブシート名</t>
  </si>
  <si>
    <t>dbscset列数</t>
    <phoneticPr fontId="2"/>
  </si>
  <si>
    <t>遷移モード</t>
  </si>
  <si>
    <t>PWDForm表示フラグ</t>
  </si>
  <si>
    <t>PWD種類</t>
  </si>
  <si>
    <t>件名別</t>
  </si>
  <si>
    <t>シート区分</t>
    <phoneticPr fontId="2"/>
  </si>
  <si>
    <t>調書入力モード</t>
    <rPh sb="2" eb="4">
      <t>ニュウリョク</t>
    </rPh>
    <phoneticPr fontId="2"/>
  </si>
  <si>
    <t>予算調書入力</t>
  </si>
  <si>
    <t>調書モード切替ボタン名</t>
  </si>
  <si>
    <t>ログイン年度</t>
  </si>
  <si>
    <t>調書NO</t>
  </si>
  <si>
    <t>締めフラグ</t>
  </si>
  <si>
    <t>入力制限フラグ</t>
    <phoneticPr fontId="2"/>
  </si>
  <si>
    <t>入力制限メッセージ</t>
    <phoneticPr fontId="2"/>
  </si>
  <si>
    <t>メンテナンス中なので終了します。</t>
  </si>
  <si>
    <t>出力ファイル名</t>
    <rPh sb="0" eb="2">
      <t>シュツリョク</t>
    </rPh>
    <rPh sb="6" eb="7">
      <t>メイ</t>
    </rPh>
    <phoneticPr fontId="2"/>
  </si>
  <si>
    <t>サーバー時刻</t>
    <rPh sb="4" eb="6">
      <t>ジコク</t>
    </rPh>
    <phoneticPr fontId="2"/>
  </si>
  <si>
    <t>ログイン年月日</t>
    <rPh sb="4" eb="7">
      <t>ネンガッピ</t>
    </rPh>
    <phoneticPr fontId="2"/>
  </si>
  <si>
    <t>ログイン時間</t>
    <rPh sb="4" eb="6">
      <t>ジカン</t>
    </rPh>
    <phoneticPr fontId="2"/>
  </si>
  <si>
    <t>見出し開始行数</t>
    <rPh sb="3" eb="5">
      <t>カイシ</t>
    </rPh>
    <phoneticPr fontId="2"/>
  </si>
  <si>
    <t>見出し終了行数</t>
    <rPh sb="3" eb="5">
      <t>シュウリョウ</t>
    </rPh>
    <phoneticPr fontId="2"/>
  </si>
  <si>
    <t>入力開始行数</t>
    <rPh sb="0" eb="2">
      <t>ニュウリョク</t>
    </rPh>
    <phoneticPr fontId="2"/>
  </si>
  <si>
    <t>入力終了行数</t>
    <rPh sb="0" eb="2">
      <t>ニュウリョク</t>
    </rPh>
    <phoneticPr fontId="2"/>
  </si>
  <si>
    <t>追加行数</t>
    <rPh sb="0" eb="2">
      <t>ツイカ</t>
    </rPh>
    <rPh sb="2" eb="3">
      <t>ギョウ</t>
    </rPh>
    <phoneticPr fontId="2"/>
  </si>
  <si>
    <t>挿入行数</t>
    <rPh sb="0" eb="2">
      <t>ソウニュウ</t>
    </rPh>
    <rPh sb="2" eb="4">
      <t>ギョウスウ</t>
    </rPh>
    <phoneticPr fontId="2"/>
  </si>
  <si>
    <t>更新行数</t>
    <phoneticPr fontId="2"/>
  </si>
  <si>
    <t>主キー列名</t>
    <rPh sb="0" eb="1">
      <t>シュ</t>
    </rPh>
    <rPh sb="3" eb="4">
      <t>レツ</t>
    </rPh>
    <rPh sb="4" eb="5">
      <t>メイ</t>
    </rPh>
    <phoneticPr fontId="2"/>
  </si>
  <si>
    <t>読込件数出力セル位置</t>
    <rPh sb="0" eb="2">
      <t>ヨミコ</t>
    </rPh>
    <rPh sb="2" eb="4">
      <t>ケンスウ</t>
    </rPh>
    <rPh sb="4" eb="6">
      <t>シュツリョク</t>
    </rPh>
    <rPh sb="8" eb="10">
      <t>イチ</t>
    </rPh>
    <phoneticPr fontId="2"/>
  </si>
  <si>
    <t>コピー元開始行数</t>
    <rPh sb="3" eb="4">
      <t>モト</t>
    </rPh>
    <rPh sb="4" eb="6">
      <t>カイシ</t>
    </rPh>
    <phoneticPr fontId="2"/>
  </si>
  <si>
    <t>コピー元終了行数</t>
    <rPh sb="3" eb="4">
      <t>モト</t>
    </rPh>
    <rPh sb="4" eb="6">
      <t>シュウリョウ</t>
    </rPh>
    <phoneticPr fontId="2"/>
  </si>
  <si>
    <t>カラム名行数</t>
    <rPh sb="3" eb="4">
      <t>メイ</t>
    </rPh>
    <phoneticPr fontId="2"/>
  </si>
  <si>
    <t>カーソル位置</t>
    <rPh sb="4" eb="6">
      <t>イチ</t>
    </rPh>
    <phoneticPr fontId="2"/>
  </si>
  <si>
    <t>削除入力列名</t>
    <phoneticPr fontId="2"/>
  </si>
  <si>
    <t>データ開始列名</t>
    <rPh sb="3" eb="5">
      <t>カイシ</t>
    </rPh>
    <rPh sb="5" eb="6">
      <t>レツ</t>
    </rPh>
    <phoneticPr fontId="2"/>
  </si>
  <si>
    <t>データ終了列名</t>
    <rPh sb="3" eb="5">
      <t>シュウリョウ</t>
    </rPh>
    <rPh sb="5" eb="6">
      <t>レツ</t>
    </rPh>
    <phoneticPr fontId="2"/>
  </si>
  <si>
    <t>DB制御情報開始列名</t>
    <rPh sb="2" eb="4">
      <t>セイギョ</t>
    </rPh>
    <rPh sb="4" eb="6">
      <t>ジョウホウ</t>
    </rPh>
    <rPh sb="6" eb="8">
      <t>カイシ</t>
    </rPh>
    <rPh sb="8" eb="9">
      <t>レツ</t>
    </rPh>
    <phoneticPr fontId="2"/>
  </si>
  <si>
    <t>DB制御情報終了列名</t>
    <rPh sb="2" eb="4">
      <t>セイギョ</t>
    </rPh>
    <rPh sb="4" eb="6">
      <t>ジョウホウ</t>
    </rPh>
    <rPh sb="6" eb="8">
      <t>シュウリョウ</t>
    </rPh>
    <rPh sb="8" eb="9">
      <t>レツ</t>
    </rPh>
    <phoneticPr fontId="2"/>
  </si>
  <si>
    <t>C</t>
    <phoneticPr fontId="2"/>
  </si>
  <si>
    <t>D</t>
    <phoneticPr fontId="2"/>
  </si>
  <si>
    <t>T</t>
    <phoneticPr fontId="2"/>
  </si>
  <si>
    <t>その他開始列名</t>
    <rPh sb="2" eb="3">
      <t>ホカ</t>
    </rPh>
    <rPh sb="3" eb="5">
      <t>カイシ</t>
    </rPh>
    <rPh sb="5" eb="6">
      <t>レツ</t>
    </rPh>
    <phoneticPr fontId="2"/>
  </si>
  <si>
    <t>その他終了列名</t>
    <rPh sb="2" eb="3">
      <t>ホカ</t>
    </rPh>
    <rPh sb="3" eb="5">
      <t>シュウリョウ</t>
    </rPh>
    <rPh sb="5" eb="6">
      <t>レツ</t>
    </rPh>
    <phoneticPr fontId="2"/>
  </si>
  <si>
    <t>AF</t>
    <phoneticPr fontId="2"/>
  </si>
  <si>
    <t>AI</t>
    <phoneticPr fontId="2"/>
  </si>
  <si>
    <t>U</t>
    <phoneticPr fontId="2"/>
  </si>
  <si>
    <t>AD</t>
    <phoneticPr fontId="2"/>
  </si>
  <si>
    <t>非表示列</t>
    <rPh sb="0" eb="3">
      <t>ヒヒョウジ</t>
    </rPh>
    <rPh sb="3" eb="4">
      <t>レツ</t>
    </rPh>
    <phoneticPr fontId="2"/>
  </si>
  <si>
    <t>U:AI</t>
    <phoneticPr fontId="2"/>
  </si>
  <si>
    <t>カラム名範囲</t>
    <rPh sb="3" eb="4">
      <t>メイ</t>
    </rPh>
    <rPh sb="4" eb="6">
      <t>ハンイ</t>
    </rPh>
    <phoneticPr fontId="2"/>
  </si>
  <si>
    <t>コピー元範囲</t>
    <rPh sb="3" eb="4">
      <t>モト</t>
    </rPh>
    <rPh sb="4" eb="6">
      <t>ハンイ</t>
    </rPh>
    <phoneticPr fontId="2"/>
  </si>
  <si>
    <t>見出し範囲</t>
    <rPh sb="0" eb="2">
      <t>ミダ</t>
    </rPh>
    <rPh sb="3" eb="5">
      <t>ハンイ</t>
    </rPh>
    <phoneticPr fontId="2"/>
  </si>
  <si>
    <t>非表示列名</t>
    <rPh sb="0" eb="3">
      <t>ヒヒョウジ</t>
    </rPh>
    <rPh sb="3" eb="4">
      <t>レツ</t>
    </rPh>
    <rPh sb="4" eb="5">
      <t>メイ</t>
    </rPh>
    <phoneticPr fontId="2"/>
  </si>
  <si>
    <t>保護設定列名</t>
    <rPh sb="0" eb="2">
      <t>ホゴ</t>
    </rPh>
    <rPh sb="2" eb="4">
      <t>セッテイ</t>
    </rPh>
    <rPh sb="4" eb="5">
      <t>レツ</t>
    </rPh>
    <rPh sb="5" eb="6">
      <t>メイ</t>
    </rPh>
    <phoneticPr fontId="2"/>
  </si>
  <si>
    <t>保護解除列名</t>
    <rPh sb="0" eb="2">
      <t>ホゴ</t>
    </rPh>
    <rPh sb="2" eb="4">
      <t>カイジョ</t>
    </rPh>
    <rPh sb="4" eb="5">
      <t>レツ</t>
    </rPh>
    <rPh sb="5" eb="6">
      <t>メイ</t>
    </rPh>
    <phoneticPr fontId="2"/>
  </si>
  <si>
    <t>非表示行数</t>
    <rPh sb="0" eb="3">
      <t>ヒヒョウジ</t>
    </rPh>
    <rPh sb="3" eb="4">
      <t>ギョウ</t>
    </rPh>
    <rPh sb="4" eb="5">
      <t>スウ</t>
    </rPh>
    <phoneticPr fontId="2"/>
  </si>
  <si>
    <t>3:4</t>
    <phoneticPr fontId="2"/>
  </si>
  <si>
    <t>C:F,H:J</t>
    <phoneticPr fontId="2"/>
  </si>
  <si>
    <t>保護設定範囲</t>
    <rPh sb="4" eb="6">
      <t>ハンイ</t>
    </rPh>
    <phoneticPr fontId="2"/>
  </si>
  <si>
    <t>保護解除範囲</t>
    <phoneticPr fontId="2"/>
  </si>
  <si>
    <t>ユーザーID</t>
    <phoneticPr fontId="2"/>
  </si>
  <si>
    <t>ユーザー姓</t>
    <rPh sb="4" eb="5">
      <t>セイ</t>
    </rPh>
    <phoneticPr fontId="2"/>
  </si>
  <si>
    <t>ユーザー名</t>
    <rPh sb="4" eb="5">
      <t>メイ</t>
    </rPh>
    <phoneticPr fontId="2"/>
  </si>
  <si>
    <t>Excel出力範囲</t>
    <rPh sb="5" eb="7">
      <t>シュツリョク</t>
    </rPh>
    <rPh sb="7" eb="9">
      <t>ハンイ</t>
    </rPh>
    <phoneticPr fontId="2"/>
  </si>
  <si>
    <t>印刷範囲</t>
    <rPh sb="0" eb="2">
      <t>インサツ</t>
    </rPh>
    <rPh sb="2" eb="4">
      <t>ハンイ</t>
    </rPh>
    <phoneticPr fontId="2"/>
  </si>
  <si>
    <t>データクリア範囲</t>
    <rPh sb="6" eb="8">
      <t>ハンイ</t>
    </rPh>
    <phoneticPr fontId="2"/>
  </si>
  <si>
    <t>非表示行</t>
    <rPh sb="0" eb="3">
      <t>ヒヒョウジ</t>
    </rPh>
    <rPh sb="3" eb="4">
      <t>ギョウ</t>
    </rPh>
    <phoneticPr fontId="2"/>
  </si>
  <si>
    <t>行</t>
    <rPh sb="0" eb="1">
      <t>ギョウ</t>
    </rPh>
    <phoneticPr fontId="2"/>
  </si>
  <si>
    <t>列</t>
    <rPh sb="0" eb="1">
      <t>レツ</t>
    </rPh>
    <phoneticPr fontId="2"/>
  </si>
  <si>
    <t>範囲</t>
    <rPh sb="0" eb="2">
      <t>ハンイ</t>
    </rPh>
    <phoneticPr fontId="2"/>
  </si>
  <si>
    <t>その他</t>
    <rPh sb="2" eb="3">
      <t>ホカ</t>
    </rPh>
    <phoneticPr fontId="2"/>
  </si>
  <si>
    <t>メニュー</t>
    <phoneticPr fontId="2"/>
  </si>
  <si>
    <t>ユーザー</t>
    <phoneticPr fontId="2"/>
  </si>
  <si>
    <t>区分</t>
    <rPh sb="0" eb="2">
      <t>クブン</t>
    </rPh>
    <phoneticPr fontId="2"/>
  </si>
  <si>
    <t>OPINIO_V</t>
    <phoneticPr fontId="2"/>
  </si>
  <si>
    <t>データ開始行数</t>
    <rPh sb="3" eb="5">
      <t>カイシ</t>
    </rPh>
    <rPh sb="5" eb="7">
      <t>ギョウスウ</t>
    </rPh>
    <phoneticPr fontId="2"/>
  </si>
  <si>
    <t>データ終了行数</t>
    <rPh sb="3" eb="5">
      <t>シュウリョウ</t>
    </rPh>
    <rPh sb="5" eb="7">
      <t>ギョウスウ</t>
    </rPh>
    <phoneticPr fontId="2"/>
  </si>
  <si>
    <t>入力範囲</t>
    <rPh sb="0" eb="2">
      <t>ニュウリョク</t>
    </rPh>
    <rPh sb="2" eb="4">
      <t>ハンイ</t>
    </rPh>
    <phoneticPr fontId="2"/>
  </si>
  <si>
    <t>データ読込開始位置</t>
    <rPh sb="3" eb="4">
      <t>ヨ</t>
    </rPh>
    <rPh sb="4" eb="5">
      <t>コ</t>
    </rPh>
    <rPh sb="5" eb="7">
      <t>カイシ</t>
    </rPh>
    <rPh sb="7" eb="9">
      <t>イチ</t>
    </rPh>
    <phoneticPr fontId="2"/>
  </si>
  <si>
    <t>データ更新開始位置</t>
    <rPh sb="3" eb="5">
      <t>コウシン</t>
    </rPh>
    <rPh sb="5" eb="7">
      <t>カイシ</t>
    </rPh>
    <rPh sb="7" eb="9">
      <t>イチ</t>
    </rPh>
    <phoneticPr fontId="2"/>
  </si>
  <si>
    <t>主キー範囲</t>
    <rPh sb="0" eb="1">
      <t>シュ</t>
    </rPh>
    <rPh sb="3" eb="5">
      <t>ハンイ</t>
    </rPh>
    <phoneticPr fontId="2"/>
  </si>
  <si>
    <t>D</t>
    <phoneticPr fontId="2"/>
  </si>
  <si>
    <t>読込行数</t>
    <phoneticPr fontId="2"/>
  </si>
  <si>
    <t>Q1_DATE</t>
    <phoneticPr fontId="2"/>
  </si>
  <si>
    <t>A3_SUBJECT</t>
    <phoneticPr fontId="2"/>
  </si>
  <si>
    <t>Q1_SUBJECT</t>
    <phoneticPr fontId="2"/>
  </si>
  <si>
    <t>←なおす</t>
    <phoneticPr fontId="2"/>
  </si>
  <si>
    <t>インスタンス作成範囲</t>
    <rPh sb="6" eb="8">
      <t>サクセイ</t>
    </rPh>
    <rPh sb="8" eb="10">
      <t>ハンイ</t>
    </rPh>
    <phoneticPr fontId="2"/>
  </si>
  <si>
    <t>データ展開種類</t>
    <rPh sb="3" eb="5">
      <t>テンカイ</t>
    </rPh>
    <rPh sb="5" eb="7">
      <t>シュルイ</t>
    </rPh>
    <phoneticPr fontId="2"/>
  </si>
  <si>
    <t>リスト型</t>
    <rPh sb="3" eb="4">
      <t>ガタ</t>
    </rPh>
    <phoneticPr fontId="2"/>
  </si>
  <si>
    <t>カード型</t>
    <rPh sb="3" eb="4">
      <t>ガタ</t>
    </rPh>
    <phoneticPr fontId="2"/>
  </si>
  <si>
    <t>NO</t>
  </si>
  <si>
    <t>名前</t>
    <rPh sb="0" eb="2">
      <t>ナマエ</t>
    </rPh>
    <phoneticPr fontId="2"/>
  </si>
  <si>
    <t>範囲</t>
    <rPh sb="0" eb="2">
      <t>ハンイ</t>
    </rPh>
    <phoneticPr fontId="2"/>
  </si>
  <si>
    <t>カード型セル位置範囲</t>
    <rPh sb="3" eb="4">
      <t>ガタ</t>
    </rPh>
    <rPh sb="6" eb="8">
      <t>イチ</t>
    </rPh>
    <rPh sb="8" eb="10">
      <t>ハンイ</t>
    </rPh>
    <phoneticPr fontId="2"/>
  </si>
  <si>
    <t>／</t>
  </si>
  <si>
    <t>年</t>
  </si>
  <si>
    <t>月</t>
  </si>
  <si>
    <t>項目1</t>
    <rPh sb="0" eb="2">
      <t>コウモク</t>
    </rPh>
    <phoneticPr fontId="2"/>
  </si>
  <si>
    <t>項目2</t>
    <rPh sb="0" eb="2">
      <t>コウモク</t>
    </rPh>
    <phoneticPr fontId="2"/>
  </si>
  <si>
    <t>項目3</t>
    <rPh sb="0" eb="2">
      <t>コウモク</t>
    </rPh>
    <phoneticPr fontId="2"/>
  </si>
  <si>
    <t>項目4</t>
    <rPh sb="0" eb="2">
      <t>コウモク</t>
    </rPh>
    <phoneticPr fontId="2"/>
  </si>
  <si>
    <t>項目5</t>
    <rPh sb="0" eb="2">
      <t>コウモク</t>
    </rPh>
    <phoneticPr fontId="2"/>
  </si>
  <si>
    <t>項目6-8</t>
    <rPh sb="0" eb="2">
      <t>コウモク</t>
    </rPh>
    <phoneticPr fontId="2"/>
  </si>
  <si>
    <t>項目9-10</t>
    <rPh sb="0" eb="2">
      <t>コウモク</t>
    </rPh>
    <phoneticPr fontId="2"/>
  </si>
  <si>
    <t>項目11-12</t>
    <rPh sb="0" eb="2">
      <t>コウモク</t>
    </rPh>
    <phoneticPr fontId="2"/>
  </si>
  <si>
    <t>項目13-14</t>
    <rPh sb="0" eb="2">
      <t>コウモク</t>
    </rPh>
    <phoneticPr fontId="2"/>
  </si>
  <si>
    <t>項目15</t>
    <rPh sb="0" eb="2">
      <t>コウモク</t>
    </rPh>
    <phoneticPr fontId="2"/>
  </si>
  <si>
    <t>項目20</t>
    <rPh sb="0" eb="2">
      <t>コウモク</t>
    </rPh>
    <phoneticPr fontId="2"/>
  </si>
  <si>
    <t>項目21</t>
    <rPh sb="0" eb="2">
      <t>コウモク</t>
    </rPh>
    <phoneticPr fontId="2"/>
  </si>
  <si>
    <t>項目22</t>
    <rPh sb="0" eb="2">
      <t>コウモク</t>
    </rPh>
    <phoneticPr fontId="2"/>
  </si>
  <si>
    <t>項目9-14</t>
    <rPh sb="0" eb="2">
      <t>コウモク</t>
    </rPh>
    <phoneticPr fontId="2"/>
  </si>
  <si>
    <t>ITEM2</t>
    <phoneticPr fontId="2"/>
  </si>
  <si>
    <t>ITEM3</t>
  </si>
  <si>
    <t>ITEM4</t>
  </si>
  <si>
    <t>ITEM5</t>
  </si>
  <si>
    <t>ITEM6</t>
  </si>
  <si>
    <t>ITEM7</t>
  </si>
  <si>
    <t>ITEM8</t>
  </si>
  <si>
    <t>ITEM9</t>
  </si>
  <si>
    <t>ITEM10</t>
  </si>
  <si>
    <t>ITEM11</t>
  </si>
  <si>
    <t>ITEM12</t>
  </si>
  <si>
    <t>ITEM13</t>
  </si>
  <si>
    <t>ITEM14</t>
  </si>
  <si>
    <t>ITEM15</t>
  </si>
  <si>
    <t>ITEM16</t>
  </si>
  <si>
    <t>ITEM17</t>
  </si>
  <si>
    <t>ITEM18</t>
  </si>
  <si>
    <t>ITEM19</t>
  </si>
  <si>
    <t>ITEM20</t>
  </si>
  <si>
    <t>ITEM21</t>
  </si>
  <si>
    <t>ITEM22</t>
  </si>
  <si>
    <t>ITEM23</t>
  </si>
  <si>
    <t>ITEM24</t>
  </si>
  <si>
    <t>範囲一覧</t>
    <phoneticPr fontId="2"/>
  </si>
  <si>
    <t>項目16-17</t>
    <rPh sb="0" eb="2">
      <t>コウモク</t>
    </rPh>
    <phoneticPr fontId="2"/>
  </si>
  <si>
    <t>項目18-19</t>
    <rPh sb="0" eb="2">
      <t>コウモク</t>
    </rPh>
    <phoneticPr fontId="2"/>
  </si>
  <si>
    <t>項目23</t>
    <rPh sb="0" eb="2">
      <t>コウモク</t>
    </rPh>
    <phoneticPr fontId="2"/>
  </si>
  <si>
    <t>項目24</t>
    <rPh sb="0" eb="2">
      <t>コウモク</t>
    </rPh>
    <phoneticPr fontId="2"/>
  </si>
  <si>
    <t>項目21-24</t>
    <rPh sb="0" eb="2">
      <t>コウモク</t>
    </rPh>
    <phoneticPr fontId="2"/>
  </si>
  <si>
    <t>ITEM1</t>
    <phoneticPr fontId="2"/>
  </si>
  <si>
    <t>STY010_V!E4:H4</t>
  </si>
  <si>
    <t>STY010_V!E5:H5</t>
  </si>
  <si>
    <t>STY010_V!L5:M5</t>
  </si>
  <si>
    <t>STY010_V!Q5:R5</t>
  </si>
  <si>
    <t>STY010_V!E7:W7</t>
  </si>
  <si>
    <t>STY010_V!E9</t>
  </si>
  <si>
    <t>STY010_V!G9</t>
  </si>
  <si>
    <t>STY010_V!H9:W9</t>
  </si>
  <si>
    <t>STY010_V!H11:J11</t>
  </si>
  <si>
    <t>STY010_V!L11:M11</t>
  </si>
  <si>
    <t>STY010_V!H12:J12</t>
  </si>
  <si>
    <t>STY010_V!L12:M12</t>
  </si>
  <si>
    <t>STY010_V!H13:J13</t>
  </si>
  <si>
    <t>STY010_V!L13:M13</t>
  </si>
  <si>
    <t>STY010_V!E15:N15</t>
  </si>
  <si>
    <t>STY010_V!E16:H16</t>
  </si>
  <si>
    <t>STY010_V!I16:N16</t>
  </si>
  <si>
    <t>STY010_V!E17:H17</t>
  </si>
  <si>
    <t>STY010_V!I17:N17</t>
  </si>
  <si>
    <t>STY010_V!D19:W28</t>
  </si>
  <si>
    <t>STY010_V!D30:D37</t>
  </si>
  <si>
    <t>STY010_V!E30:I37</t>
  </si>
  <si>
    <t>STY010_V!J30:P37</t>
  </si>
  <si>
    <t>STY010_V!Q30:W37</t>
  </si>
  <si>
    <t>STY010_V</t>
    <phoneticPr fontId="2"/>
  </si>
  <si>
    <t>閲覧</t>
  </si>
  <si>
    <t>編集不可セル</t>
    <rPh sb="0" eb="2">
      <t>ヘンシュウ</t>
    </rPh>
    <rPh sb="2" eb="4">
      <t>フカ</t>
    </rPh>
    <phoneticPr fontId="2"/>
  </si>
  <si>
    <t>セルのスタイル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</si>
</sst>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/m/d"/>
    <numFmt numFmtId="177" formatCode="[$-F400]h:mm:ss\ AM/PM"/>
  </numFmts>
  <fonts count="18">
    <font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b/>
      <sz val="14"/>
      <color theme="0"/>
      <name val="ＭＳ Ｐゴシック"/>
      <family val="3"/>
      <charset val="128"/>
      <scheme val="minor"/>
    </font>
    <font>
      <b/>
      <sz val="14"/>
      <color indexed="9"/>
      <name val="ＭＳ Ｐゴシック"/>
      <family val="3"/>
      <charset val="128"/>
      <scheme val="minor"/>
    </font>
    <font>
      <sz val="14"/>
      <color theme="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u/>
      <sz val="11"/>
      <color theme="0"/>
      <name val="ＭＳ Ｐゴシック"/>
      <family val="2"/>
      <charset val="128"/>
      <scheme val="minor"/>
    </font>
    <font>
      <u/>
      <sz val="11"/>
      <name val="ＭＳ Ｐゴシック"/>
      <family val="2"/>
      <charset val="128"/>
      <scheme val="minor"/>
    </font>
    <font>
      <sz val="11"/>
      <color theme="0" tint="-0.249977111117893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b/>
      <sz val="18"/>
      <color theme="1"/>
      <name val="ＭＳ Ｐゴシック"/>
      <family val="3"/>
      <charset val="128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FF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3" fillId="0" borderId="2">
      <alignment horizontal="center" vertical="center" wrapText="1"/>
    </xf>
    <xf numFmtId="0" fontId="10" fillId="9" borderId="2">
      <alignment horizontal="center" vertical="center" wrapText="1"/>
      <protection locked="0"/>
    </xf>
    <xf numFmtId="0" fontId="10" fillId="10" borderId="5">
      <alignment horizontal="center" vertical="center"/>
      <protection locked="0"/>
    </xf>
    <xf numFmtId="0" fontId="11" fillId="11" borderId="2">
      <alignment horizontal="center" vertical="center" wrapText="1"/>
      <protection locked="0"/>
    </xf>
    <xf numFmtId="0" fontId="12" fillId="12" borderId="2">
      <alignment horizontal="center" vertical="center" wrapText="1"/>
    </xf>
    <xf numFmtId="0" fontId="10" fillId="13" borderId="2">
      <alignment horizontal="center" vertical="center" wrapText="1"/>
      <protection locked="0"/>
    </xf>
    <xf numFmtId="0" fontId="10" fillId="14" borderId="2">
      <alignment horizontal="center" vertical="center" wrapText="1"/>
      <protection locked="0"/>
    </xf>
    <xf numFmtId="0" fontId="3" fillId="11" borderId="2" applyAlignment="0">
      <alignment horizontal="center" vertical="center"/>
      <protection locked="0"/>
    </xf>
    <xf numFmtId="0" fontId="13" fillId="15" borderId="2" applyAlignment="0">
      <alignment horizontal="center" vertical="center" wrapText="1"/>
    </xf>
    <xf numFmtId="0" fontId="10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84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0" borderId="0" xfId="0" applyFont="1" applyFill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4" fillId="5" borderId="0" xfId="0" applyFont="1" applyFill="1" applyAlignment="1">
      <alignment horizontal="center" vertical="center" textRotation="255"/>
    </xf>
    <xf numFmtId="0" fontId="5" fillId="6" borderId="0" xfId="0" applyFont="1" applyFill="1">
      <alignment vertical="center"/>
    </xf>
    <xf numFmtId="0" fontId="6" fillId="6" borderId="0" xfId="0" applyFont="1" applyFill="1">
      <alignment vertical="center"/>
    </xf>
    <xf numFmtId="0" fontId="7" fillId="6" borderId="0" xfId="0" applyFont="1" applyFill="1">
      <alignment vertical="center"/>
    </xf>
    <xf numFmtId="0" fontId="7" fillId="0" borderId="0" xfId="0" applyFont="1">
      <alignment vertical="center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" xfId="0" applyFill="1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center" vertical="center" wrapText="1"/>
      <protection locked="0"/>
    </xf>
    <xf numFmtId="0" fontId="0" fillId="0" borderId="3" xfId="0" applyBorder="1" applyAlignment="1" applyProtection="1">
      <alignment horizontal="center" vertical="center" wrapText="1"/>
      <protection locked="0"/>
    </xf>
    <xf numFmtId="176" fontId="0" fillId="7" borderId="1" xfId="0" applyNumberFormat="1" applyFill="1" applyBorder="1" applyAlignment="1" applyProtection="1">
      <alignment horizontal="center" vertical="center" wrapText="1"/>
    </xf>
    <xf numFmtId="0" fontId="0" fillId="0" borderId="4" xfId="0" applyBorder="1" applyAlignment="1" applyProtection="1">
      <alignment vertical="center" wrapText="1"/>
      <protection locked="0"/>
    </xf>
    <xf numFmtId="0" fontId="0" fillId="0" borderId="5" xfId="0" applyBorder="1" applyAlignment="1" applyProtection="1">
      <alignment vertical="center" wrapText="1"/>
      <protection locked="0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vertical="center"/>
    </xf>
    <xf numFmtId="0" fontId="4" fillId="8" borderId="4" xfId="0" applyFont="1" applyFill="1" applyBorder="1" applyAlignment="1">
      <alignment horizontal="center" vertical="center"/>
    </xf>
    <xf numFmtId="0" fontId="15" fillId="0" borderId="0" xfId="0" applyFont="1">
      <alignment vertical="center"/>
    </xf>
    <xf numFmtId="0" fontId="15" fillId="16" borderId="15" xfId="0" applyFont="1" applyFill="1" applyBorder="1">
      <alignment vertical="center"/>
    </xf>
    <xf numFmtId="0" fontId="14" fillId="16" borderId="15" xfId="0" applyFont="1" applyFill="1" applyBorder="1">
      <alignment vertical="center"/>
    </xf>
    <xf numFmtId="0" fontId="14" fillId="17" borderId="15" xfId="0" applyFont="1" applyFill="1" applyBorder="1">
      <alignment vertical="center"/>
    </xf>
    <xf numFmtId="0" fontId="15" fillId="17" borderId="15" xfId="0" applyFont="1" applyFill="1" applyBorder="1">
      <alignment vertical="center"/>
    </xf>
    <xf numFmtId="0" fontId="15" fillId="16" borderId="15" xfId="0" applyFont="1" applyFill="1" applyBorder="1" applyAlignment="1">
      <alignment vertical="center"/>
    </xf>
    <xf numFmtId="0" fontId="15" fillId="18" borderId="15" xfId="0" applyFont="1" applyFill="1" applyBorder="1">
      <alignment vertical="center"/>
    </xf>
    <xf numFmtId="0" fontId="14" fillId="18" borderId="15" xfId="0" applyFont="1" applyFill="1" applyBorder="1">
      <alignment vertical="center"/>
    </xf>
    <xf numFmtId="0" fontId="15" fillId="19" borderId="15" xfId="0" applyFont="1" applyFill="1" applyBorder="1">
      <alignment vertical="center"/>
    </xf>
    <xf numFmtId="0" fontId="14" fillId="19" borderId="15" xfId="0" applyFont="1" applyFill="1" applyBorder="1">
      <alignment vertical="center"/>
    </xf>
    <xf numFmtId="0" fontId="15" fillId="20" borderId="15" xfId="0" applyFont="1" applyFill="1" applyBorder="1">
      <alignment vertical="center"/>
    </xf>
    <xf numFmtId="0" fontId="14" fillId="20" borderId="15" xfId="0" applyFont="1" applyFill="1" applyBorder="1">
      <alignment vertical="center"/>
    </xf>
    <xf numFmtId="0" fontId="15" fillId="21" borderId="15" xfId="0" applyFont="1" applyFill="1" applyBorder="1">
      <alignment vertical="center"/>
    </xf>
    <xf numFmtId="0" fontId="14" fillId="21" borderId="15" xfId="0" applyFont="1" applyFill="1" applyBorder="1">
      <alignment vertical="center"/>
    </xf>
    <xf numFmtId="0" fontId="15" fillId="22" borderId="15" xfId="0" applyFont="1" applyFill="1" applyBorder="1" applyAlignment="1" applyProtection="1">
      <alignment horizontal="left" vertical="center"/>
    </xf>
    <xf numFmtId="14" fontId="15" fillId="22" borderId="15" xfId="0" applyNumberFormat="1" applyFont="1" applyFill="1" applyBorder="1" applyAlignment="1" applyProtection="1">
      <alignment horizontal="left" vertical="center"/>
    </xf>
    <xf numFmtId="177" fontId="15" fillId="22" borderId="15" xfId="0" applyNumberFormat="1" applyFont="1" applyFill="1" applyBorder="1" applyAlignment="1" applyProtection="1">
      <alignment horizontal="left" vertical="center"/>
    </xf>
    <xf numFmtId="22" fontId="15" fillId="23" borderId="15" xfId="0" applyNumberFormat="1" applyFont="1" applyFill="1" applyBorder="1" applyAlignment="1" applyProtection="1">
      <alignment horizontal="left" vertical="center"/>
      <protection locked="0"/>
    </xf>
    <xf numFmtId="0" fontId="15" fillId="23" borderId="15" xfId="0" applyFont="1" applyFill="1" applyBorder="1" applyAlignment="1" applyProtection="1">
      <alignment horizontal="left" vertical="center"/>
      <protection locked="0"/>
    </xf>
    <xf numFmtId="0" fontId="15" fillId="23" borderId="15" xfId="0" applyFont="1" applyFill="1" applyBorder="1" applyProtection="1">
      <alignment vertical="center"/>
      <protection locked="0"/>
    </xf>
    <xf numFmtId="49" fontId="15" fillId="23" borderId="15" xfId="0" applyNumberFormat="1" applyFont="1" applyFill="1" applyBorder="1" applyAlignment="1" applyProtection="1">
      <alignment horizontal="left" vertical="center"/>
      <protection locked="0"/>
    </xf>
    <xf numFmtId="0" fontId="16" fillId="4" borderId="15" xfId="0" applyFont="1" applyFill="1" applyBorder="1" applyAlignment="1"/>
    <xf numFmtId="0" fontId="4" fillId="3" borderId="13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8" borderId="8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8" borderId="9" xfId="0" applyFont="1" applyFill="1" applyBorder="1" applyAlignment="1">
      <alignment horizontal="center" vertical="center" wrapText="1"/>
    </xf>
    <xf numFmtId="0" fontId="4" fillId="8" borderId="2" xfId="0" applyFont="1" applyFill="1" applyBorder="1" applyAlignment="1">
      <alignment horizontal="center" vertical="center"/>
    </xf>
    <xf numFmtId="0" fontId="4" fillId="8" borderId="10" xfId="0" applyFont="1" applyFill="1" applyBorder="1" applyAlignment="1">
      <alignment horizontal="center" vertical="center"/>
    </xf>
    <xf numFmtId="0" fontId="4" fillId="8" borderId="3" xfId="0" applyFont="1" applyFill="1" applyBorder="1" applyAlignment="1">
      <alignment horizontal="center" vertical="center"/>
    </xf>
    <xf numFmtId="0" fontId="4" fillId="8" borderId="9" xfId="0" applyFont="1" applyFill="1" applyBorder="1" applyAlignment="1">
      <alignment horizontal="center" vertical="center"/>
    </xf>
    <xf numFmtId="0" fontId="4" fillId="8" borderId="11" xfId="0" applyFont="1" applyFill="1" applyBorder="1" applyAlignment="1">
      <alignment horizontal="center" vertical="center"/>
    </xf>
    <xf numFmtId="0" fontId="4" fillId="8" borderId="12" xfId="0" applyFont="1" applyFill="1" applyBorder="1" applyAlignment="1">
      <alignment horizontal="center" vertical="center"/>
    </xf>
    <xf numFmtId="0" fontId="4" fillId="8" borderId="7" xfId="0" applyFont="1" applyFill="1" applyBorder="1" applyAlignment="1">
      <alignment horizontal="center" vertical="center"/>
    </xf>
    <xf numFmtId="0" fontId="15" fillId="22" borderId="15" xfId="0" applyFont="1" applyFill="1" applyBorder="1" applyProtection="1">
      <alignment vertical="center"/>
    </xf>
    <xf numFmtId="0" fontId="0" fillId="0" borderId="15" xfId="0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21" xfId="0" applyBorder="1" applyAlignment="1">
      <alignment vertical="center"/>
    </xf>
    <xf numFmtId="0" fontId="17" fillId="0" borderId="0" xfId="0" applyFont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15" xfId="0" applyBorder="1" applyAlignment="1">
      <alignment vertical="center" textRotation="255"/>
    </xf>
    <xf numFmtId="0" fontId="0" fillId="0" borderId="0" xfId="0" applyAlignment="1">
      <alignment vertical="center"/>
    </xf>
    <xf numFmtId="0" fontId="0" fillId="0" borderId="23" xfId="0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15" xfId="0" applyBorder="1" applyAlignment="1">
      <alignment vertical="center"/>
    </xf>
    <xf numFmtId="0" fontId="3" fillId="11" borderId="15" xfId="8" applyBorder="1" applyAlignment="1">
      <alignment vertical="center"/>
      <protection locked="0"/>
    </xf>
    <xf numFmtId="0" fontId="0" fillId="11" borderId="15" xfId="8" applyFont="1" applyBorder="1" applyAlignment="1">
      <alignment vertical="center"/>
      <protection locked="0"/>
    </xf>
    <xf numFmtId="0" fontId="0" fillId="11" borderId="15" xfId="8" applyFont="1" applyBorder="1" applyAlignment="1">
      <alignment vertical="center"/>
      <protection locked="0"/>
    </xf>
    <xf numFmtId="0" fontId="0" fillId="4" borderId="15" xfId="0" applyFill="1" applyBorder="1" applyAlignment="1">
      <alignment vertical="center"/>
    </xf>
  </cellXfs>
  <cellStyles count="12">
    <cellStyle name="ハイパーリンク" xfId="10" builtinId="8" customBuiltin="1"/>
    <cellStyle name="ボタン無" xfId="1"/>
    <cellStyle name="確定設定" xfId="2"/>
    <cellStyle name="削除設定" xfId="3"/>
    <cellStyle name="設定解除" xfId="4"/>
    <cellStyle name="設定保護" xfId="5"/>
    <cellStyle name="通達設定" xfId="6"/>
    <cellStyle name="締め設定" xfId="7"/>
    <cellStyle name="標準" xfId="0" builtinId="0"/>
    <cellStyle name="表示済みのハイパーリンク" xfId="11" builtinId="9" customBuiltin="1"/>
    <cellStyle name="編集可能セル" xfId="8"/>
    <cellStyle name="編集不可セル" xfId="9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28575</xdr:colOff>
      <xdr:row>0</xdr:row>
      <xdr:rowOff>266700</xdr:rowOff>
    </xdr:to>
    <xdr:sp macro="[0]!dbsc入力セルボタン" textlink="">
      <xdr:nvSpPr>
        <xdr:cNvPr id="3" name="角丸四角形 2"/>
        <xdr:cNvSpPr/>
      </xdr:nvSpPr>
      <xdr:spPr>
        <a:xfrm>
          <a:off x="0" y="0"/>
          <a:ext cx="600075" cy="26670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 b="1"/>
            <a:t>リセット</a:t>
          </a:r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Q34"/>
  <sheetViews>
    <sheetView workbookViewId="0">
      <selection activeCell="J32" sqref="J32"/>
    </sheetView>
  </sheetViews>
  <sheetFormatPr defaultRowHeight="13.5"/>
  <cols>
    <col min="1" max="16384" width="9" style="2"/>
  </cols>
  <sheetData>
    <row r="3" spans="2:17">
      <c r="B3" s="1">
        <v>1</v>
      </c>
    </row>
    <row r="4" spans="2:17">
      <c r="B4" s="1">
        <v>1</v>
      </c>
      <c r="D4" s="4"/>
      <c r="E4" s="4"/>
      <c r="F4" s="4"/>
      <c r="J4" s="1">
        <v>2</v>
      </c>
      <c r="K4" s="1">
        <v>2</v>
      </c>
      <c r="L4" s="1">
        <v>2</v>
      </c>
      <c r="M4" s="1">
        <v>2</v>
      </c>
    </row>
    <row r="5" spans="2:17">
      <c r="B5" s="1">
        <v>1</v>
      </c>
      <c r="D5" s="4"/>
      <c r="E5" s="4"/>
      <c r="F5" s="4"/>
      <c r="J5" s="1">
        <v>2</v>
      </c>
      <c r="K5" s="1">
        <v>2</v>
      </c>
      <c r="L5" s="1">
        <v>2</v>
      </c>
      <c r="M5" s="1">
        <v>2</v>
      </c>
      <c r="O5" s="1">
        <v>3</v>
      </c>
      <c r="P5" s="1">
        <v>3</v>
      </c>
    </row>
    <row r="6" spans="2:17">
      <c r="B6" s="1">
        <v>1</v>
      </c>
      <c r="D6" s="4"/>
      <c r="E6" s="4"/>
      <c r="F6" s="4"/>
      <c r="J6" s="1">
        <v>2</v>
      </c>
      <c r="K6" s="1">
        <v>2</v>
      </c>
      <c r="L6" s="1">
        <v>2</v>
      </c>
      <c r="M6" s="1">
        <v>2</v>
      </c>
      <c r="O6" s="1">
        <v>3</v>
      </c>
      <c r="P6" s="1">
        <v>3</v>
      </c>
    </row>
    <row r="7" spans="2:17">
      <c r="J7" s="1">
        <v>2</v>
      </c>
      <c r="K7" s="1">
        <v>2</v>
      </c>
      <c r="L7" s="1">
        <v>2</v>
      </c>
      <c r="M7" s="1">
        <v>2</v>
      </c>
      <c r="O7" s="1">
        <v>3</v>
      </c>
      <c r="P7" s="1">
        <v>3</v>
      </c>
    </row>
    <row r="8" spans="2:17">
      <c r="J8" s="1">
        <v>2</v>
      </c>
      <c r="K8" s="1">
        <v>2</v>
      </c>
      <c r="L8" s="1">
        <v>2</v>
      </c>
      <c r="M8" s="1">
        <v>2</v>
      </c>
      <c r="O8" s="1">
        <v>3</v>
      </c>
      <c r="P8" s="1">
        <v>3</v>
      </c>
    </row>
    <row r="9" spans="2:17">
      <c r="J9" s="1">
        <v>2</v>
      </c>
      <c r="K9" s="1">
        <v>2</v>
      </c>
      <c r="L9" s="1">
        <v>2</v>
      </c>
      <c r="M9" s="1">
        <v>2</v>
      </c>
      <c r="O9" s="1">
        <v>3</v>
      </c>
      <c r="P9" s="1">
        <v>3</v>
      </c>
    </row>
    <row r="10" spans="2:17">
      <c r="D10" s="1">
        <v>4</v>
      </c>
      <c r="E10" s="1">
        <v>4</v>
      </c>
      <c r="F10" s="1">
        <v>4</v>
      </c>
      <c r="O10" s="1">
        <v>3</v>
      </c>
      <c r="P10" s="1">
        <v>3</v>
      </c>
    </row>
    <row r="11" spans="2:17">
      <c r="D11" s="1">
        <v>4</v>
      </c>
      <c r="E11" s="1">
        <v>4</v>
      </c>
      <c r="F11" s="1">
        <v>4</v>
      </c>
      <c r="O11" s="1">
        <v>3</v>
      </c>
      <c r="P11" s="1">
        <v>3</v>
      </c>
    </row>
    <row r="12" spans="2:17">
      <c r="D12" s="1">
        <v>4</v>
      </c>
      <c r="E12" s="1">
        <v>4</v>
      </c>
      <c r="F12" s="1">
        <v>4</v>
      </c>
      <c r="M12" s="4"/>
    </row>
    <row r="13" spans="2:17">
      <c r="M13" s="4"/>
    </row>
    <row r="14" spans="2:17">
      <c r="M14" s="4"/>
    </row>
    <row r="15" spans="2:17">
      <c r="H15" s="1">
        <v>5</v>
      </c>
      <c r="I15" s="1">
        <v>5</v>
      </c>
      <c r="J15" s="1">
        <v>5</v>
      </c>
      <c r="M15" s="4"/>
      <c r="P15" s="4"/>
      <c r="Q15" s="4"/>
    </row>
    <row r="16" spans="2:17">
      <c r="E16" s="4"/>
      <c r="F16" s="4"/>
      <c r="H16" s="1">
        <v>5</v>
      </c>
      <c r="I16" s="1">
        <v>5</v>
      </c>
      <c r="J16" s="1">
        <v>5</v>
      </c>
      <c r="P16" s="4"/>
      <c r="Q16" s="4"/>
    </row>
    <row r="17" spans="1:17">
      <c r="E17" s="4"/>
      <c r="F17" s="4"/>
      <c r="H17" s="1">
        <v>5</v>
      </c>
      <c r="I17" s="1">
        <v>5</v>
      </c>
      <c r="J17" s="1">
        <v>5</v>
      </c>
      <c r="P17" s="4"/>
      <c r="Q17" s="4"/>
    </row>
    <row r="18" spans="1:17">
      <c r="E18" s="4"/>
      <c r="F18" s="4"/>
      <c r="P18" s="4"/>
      <c r="Q18" s="4"/>
    </row>
    <row r="19" spans="1:17">
      <c r="A19" s="3">
        <v>6</v>
      </c>
      <c r="B19" s="1">
        <v>6</v>
      </c>
      <c r="C19" s="1">
        <v>6</v>
      </c>
      <c r="D19" s="1">
        <v>6</v>
      </c>
      <c r="N19" s="1">
        <v>7</v>
      </c>
      <c r="O19" s="1">
        <v>7</v>
      </c>
      <c r="P19" s="4"/>
      <c r="Q19" s="4"/>
    </row>
    <row r="20" spans="1:17">
      <c r="A20" s="3">
        <v>6</v>
      </c>
      <c r="B20" s="1">
        <v>6</v>
      </c>
      <c r="C20" s="1">
        <v>6</v>
      </c>
      <c r="D20" s="1">
        <v>6</v>
      </c>
      <c r="N20" s="1">
        <v>7</v>
      </c>
      <c r="O20" s="1">
        <v>7</v>
      </c>
    </row>
    <row r="21" spans="1:17">
      <c r="A21" s="3">
        <v>6</v>
      </c>
      <c r="B21" s="1">
        <v>6</v>
      </c>
      <c r="C21" s="1">
        <v>6</v>
      </c>
      <c r="D21" s="1">
        <v>6</v>
      </c>
      <c r="N21" s="1">
        <v>7</v>
      </c>
      <c r="O21" s="1">
        <v>7</v>
      </c>
    </row>
    <row r="22" spans="1:17">
      <c r="A22" s="3">
        <v>6</v>
      </c>
      <c r="B22" s="1">
        <v>6</v>
      </c>
      <c r="C22" s="1">
        <v>6</v>
      </c>
      <c r="D22" s="1">
        <v>6</v>
      </c>
      <c r="J22" s="4"/>
      <c r="K22" s="4"/>
      <c r="N22" s="1">
        <v>7</v>
      </c>
      <c r="O22" s="1">
        <v>7</v>
      </c>
    </row>
    <row r="23" spans="1:17">
      <c r="A23" s="3">
        <v>6</v>
      </c>
      <c r="B23" s="1">
        <v>6</v>
      </c>
      <c r="C23" s="1">
        <v>6</v>
      </c>
      <c r="D23" s="1">
        <v>6</v>
      </c>
      <c r="J23" s="4"/>
      <c r="K23" s="4"/>
      <c r="N23" s="1">
        <v>7</v>
      </c>
      <c r="O23" s="1">
        <v>7</v>
      </c>
    </row>
    <row r="24" spans="1:17">
      <c r="N24" s="1">
        <v>7</v>
      </c>
      <c r="O24" s="1">
        <v>7</v>
      </c>
    </row>
    <row r="25" spans="1:17">
      <c r="N25" s="1">
        <v>7</v>
      </c>
      <c r="O25" s="1">
        <v>7</v>
      </c>
    </row>
    <row r="28" spans="1:17">
      <c r="B28" s="4"/>
      <c r="C28" s="4"/>
      <c r="D28" s="4"/>
      <c r="F28" s="1">
        <v>8</v>
      </c>
      <c r="G28" s="1">
        <v>8</v>
      </c>
      <c r="H28" s="1">
        <v>8</v>
      </c>
      <c r="I28" s="1">
        <v>8</v>
      </c>
    </row>
    <row r="29" spans="1:17">
      <c r="B29" s="4"/>
      <c r="C29" s="4"/>
      <c r="D29" s="4"/>
      <c r="F29" s="1">
        <v>8</v>
      </c>
      <c r="G29" s="1">
        <v>8</v>
      </c>
      <c r="H29" s="1">
        <v>8</v>
      </c>
      <c r="I29" s="1">
        <v>8</v>
      </c>
    </row>
    <row r="30" spans="1:17">
      <c r="B30" s="4"/>
      <c r="C30" s="4"/>
      <c r="D30" s="4"/>
      <c r="F30" s="1">
        <v>8</v>
      </c>
      <c r="G30" s="1">
        <v>8</v>
      </c>
      <c r="H30" s="1">
        <v>8</v>
      </c>
      <c r="I30" s="1">
        <v>8</v>
      </c>
    </row>
    <row r="31" spans="1:17">
      <c r="B31" s="4"/>
      <c r="C31" s="4"/>
      <c r="D31" s="4"/>
    </row>
    <row r="32" spans="1:17">
      <c r="B32" s="4"/>
      <c r="C32" s="4"/>
      <c r="D32" s="4"/>
      <c r="N32" s="4"/>
      <c r="O32" s="4"/>
      <c r="P32" s="4"/>
    </row>
    <row r="33" spans="2:16">
      <c r="B33" s="4"/>
      <c r="C33" s="4"/>
      <c r="D33" s="4"/>
      <c r="N33" s="4"/>
      <c r="O33" s="4"/>
      <c r="P33" s="4"/>
    </row>
    <row r="34" spans="2:16">
      <c r="B34" s="4"/>
      <c r="C34" s="4"/>
      <c r="D34" s="4"/>
    </row>
  </sheetData>
  <phoneticPr fontId="2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18"/>
  <dimension ref="A1:DY12"/>
  <sheetViews>
    <sheetView zoomScale="70" zoomScaleNormal="70" workbookViewId="0">
      <pane xSplit="10" ySplit="6" topLeftCell="K7" activePane="bottomRight" state="frozen"/>
      <selection activeCell="E43" sqref="E43"/>
      <selection pane="topRight" activeCell="E43" sqref="E43"/>
      <selection pane="bottomLeft" activeCell="E43" sqref="E43"/>
      <selection pane="bottomRight" activeCell="F11" sqref="F11"/>
    </sheetView>
  </sheetViews>
  <sheetFormatPr defaultRowHeight="13.5"/>
  <cols>
    <col min="1" max="1" width="3.125" customWidth="1"/>
    <col min="2" max="2" width="1.625" customWidth="1"/>
    <col min="3" max="3" width="4.625" bestFit="1" customWidth="1"/>
    <col min="4" max="4" width="4.625" customWidth="1"/>
    <col min="6" max="6" width="9" customWidth="1"/>
    <col min="7" max="7" width="9.5" customWidth="1"/>
    <col min="8" max="8" width="5.75" customWidth="1"/>
    <col min="9" max="9" width="10.75" bestFit="1" customWidth="1"/>
    <col min="10" max="10" width="40.625" customWidth="1"/>
    <col min="11" max="11" width="9.5" customWidth="1"/>
    <col min="12" max="12" width="5.75" customWidth="1"/>
    <col min="13" max="13" width="40.625" customWidth="1"/>
    <col min="14" max="14" width="9.5" customWidth="1"/>
    <col min="15" max="15" width="5.75" customWidth="1"/>
    <col min="16" max="16" width="40.625" customWidth="1"/>
    <col min="17" max="17" width="9.5" customWidth="1"/>
    <col min="18" max="18" width="5.75" customWidth="1"/>
    <col min="19" max="20" width="40.625" customWidth="1"/>
    <col min="21" max="35" width="9" customWidth="1"/>
  </cols>
  <sheetData>
    <row r="1" spans="1:129" s="9" customFormat="1" ht="36" customHeight="1">
      <c r="A1" s="5"/>
      <c r="B1" s="6" t="s">
        <v>0</v>
      </c>
      <c r="C1" s="6"/>
      <c r="D1" s="7"/>
      <c r="E1" s="7"/>
      <c r="F1" s="7"/>
      <c r="G1" s="7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</row>
    <row r="3" spans="1:129" hidden="1">
      <c r="C3" s="10"/>
      <c r="D3" s="11"/>
      <c r="E3" s="12"/>
      <c r="F3" s="13"/>
      <c r="G3" s="14"/>
      <c r="H3" s="12"/>
      <c r="I3" s="12"/>
      <c r="J3" s="15"/>
      <c r="K3" s="14"/>
      <c r="L3" s="12"/>
      <c r="M3" s="15"/>
      <c r="N3" s="14"/>
      <c r="O3" s="12"/>
      <c r="P3" s="15"/>
      <c r="Q3" s="14"/>
      <c r="R3" s="12"/>
      <c r="S3" s="15"/>
      <c r="T3" s="16"/>
      <c r="U3" s="17"/>
      <c r="V3" s="17"/>
      <c r="W3" s="17"/>
      <c r="X3" s="17"/>
      <c r="Y3" s="17"/>
      <c r="Z3" s="17"/>
      <c r="AA3" s="17"/>
      <c r="AB3" s="17"/>
      <c r="AC3" s="17"/>
      <c r="AD3" s="18"/>
      <c r="AE3" s="17">
        <f>IF(C3="削除",99,1)</f>
        <v>1</v>
      </c>
      <c r="AF3" s="17"/>
      <c r="AG3" s="17"/>
      <c r="AH3" s="17"/>
      <c r="AI3" s="17"/>
    </row>
    <row r="4" spans="1:129" hidden="1">
      <c r="C4" s="19" t="s">
        <v>7</v>
      </c>
      <c r="D4" s="19" t="s">
        <v>8</v>
      </c>
      <c r="E4" s="20" t="s">
        <v>9</v>
      </c>
      <c r="F4" s="21" t="s">
        <v>10</v>
      </c>
      <c r="G4" s="19" t="s">
        <v>154</v>
      </c>
      <c r="H4" s="20" t="s">
        <v>11</v>
      </c>
      <c r="I4" s="20" t="s">
        <v>12</v>
      </c>
      <c r="J4" s="22" t="s">
        <v>156</v>
      </c>
      <c r="K4" s="19" t="s">
        <v>13</v>
      </c>
      <c r="L4" s="20" t="s">
        <v>14</v>
      </c>
      <c r="M4" s="22" t="s">
        <v>15</v>
      </c>
      <c r="N4" s="19" t="s">
        <v>16</v>
      </c>
      <c r="O4" s="20" t="s">
        <v>17</v>
      </c>
      <c r="P4" s="22" t="s">
        <v>18</v>
      </c>
      <c r="Q4" s="19" t="s">
        <v>19</v>
      </c>
      <c r="R4" s="20" t="s">
        <v>20</v>
      </c>
      <c r="S4" s="22" t="s">
        <v>155</v>
      </c>
      <c r="T4" s="23" t="s">
        <v>21</v>
      </c>
      <c r="U4" s="23" t="s">
        <v>22</v>
      </c>
      <c r="V4" s="23" t="s">
        <v>23</v>
      </c>
      <c r="W4" s="23" t="s">
        <v>24</v>
      </c>
      <c r="X4" s="23" t="s">
        <v>25</v>
      </c>
      <c r="Y4" s="23" t="s">
        <v>26</v>
      </c>
      <c r="Z4" s="23" t="s">
        <v>27</v>
      </c>
      <c r="AA4" s="23" t="s">
        <v>28</v>
      </c>
      <c r="AB4" s="23" t="s">
        <v>29</v>
      </c>
      <c r="AC4" s="23" t="s">
        <v>30</v>
      </c>
      <c r="AD4" s="24" t="s">
        <v>31</v>
      </c>
      <c r="AE4" s="23" t="s">
        <v>32</v>
      </c>
      <c r="AF4" s="23" t="s">
        <v>33</v>
      </c>
      <c r="AG4" s="23" t="s">
        <v>34</v>
      </c>
      <c r="AH4" s="23" t="s">
        <v>35</v>
      </c>
      <c r="AI4" s="23" t="s">
        <v>36</v>
      </c>
    </row>
    <row r="5" spans="1:129">
      <c r="C5" s="54" t="s">
        <v>1</v>
      </c>
      <c r="D5" s="54" t="s">
        <v>8</v>
      </c>
      <c r="E5" s="56" t="s">
        <v>37</v>
      </c>
      <c r="F5" s="58" t="s">
        <v>38</v>
      </c>
      <c r="G5" s="54" t="s">
        <v>39</v>
      </c>
      <c r="H5" s="60"/>
      <c r="I5" s="60"/>
      <c r="J5" s="61"/>
      <c r="K5" s="54" t="s">
        <v>40</v>
      </c>
      <c r="L5" s="60"/>
      <c r="M5" s="61"/>
      <c r="N5" s="54" t="s">
        <v>41</v>
      </c>
      <c r="O5" s="60"/>
      <c r="P5" s="61"/>
      <c r="Q5" s="54" t="s">
        <v>42</v>
      </c>
      <c r="R5" s="60"/>
      <c r="S5" s="61"/>
      <c r="T5" s="62" t="s">
        <v>43</v>
      </c>
      <c r="U5" s="50" t="s">
        <v>44</v>
      </c>
      <c r="V5" s="50" t="s">
        <v>45</v>
      </c>
      <c r="W5" s="50" t="s">
        <v>46</v>
      </c>
      <c r="X5" s="50" t="s">
        <v>47</v>
      </c>
      <c r="Y5" s="50" t="s">
        <v>48</v>
      </c>
      <c r="Z5" s="50" t="s">
        <v>49</v>
      </c>
      <c r="AA5" s="50" t="s">
        <v>50</v>
      </c>
      <c r="AB5" s="50" t="s">
        <v>51</v>
      </c>
      <c r="AC5" s="50" t="s">
        <v>52</v>
      </c>
      <c r="AD5" s="52" t="s">
        <v>53</v>
      </c>
      <c r="AE5" s="50" t="s">
        <v>2</v>
      </c>
      <c r="AF5" s="50" t="s">
        <v>3</v>
      </c>
      <c r="AG5" s="50" t="s">
        <v>4</v>
      </c>
      <c r="AH5" s="50" t="s">
        <v>5</v>
      </c>
      <c r="AI5" s="50" t="s">
        <v>6</v>
      </c>
    </row>
    <row r="6" spans="1:129">
      <c r="C6" s="55"/>
      <c r="D6" s="55"/>
      <c r="E6" s="57"/>
      <c r="F6" s="59"/>
      <c r="G6" s="25" t="s">
        <v>54</v>
      </c>
      <c r="H6" s="26" t="s">
        <v>55</v>
      </c>
      <c r="I6" s="26" t="s">
        <v>56</v>
      </c>
      <c r="J6" s="27" t="s">
        <v>57</v>
      </c>
      <c r="K6" s="25" t="s">
        <v>54</v>
      </c>
      <c r="L6" s="26" t="s">
        <v>55</v>
      </c>
      <c r="M6" s="27" t="s">
        <v>58</v>
      </c>
      <c r="N6" s="25" t="s">
        <v>54</v>
      </c>
      <c r="O6" s="26" t="s">
        <v>55</v>
      </c>
      <c r="P6" s="27" t="s">
        <v>58</v>
      </c>
      <c r="Q6" s="25" t="s">
        <v>54</v>
      </c>
      <c r="R6" s="26" t="s">
        <v>55</v>
      </c>
      <c r="S6" s="27" t="s">
        <v>58</v>
      </c>
      <c r="T6" s="63"/>
      <c r="U6" s="51"/>
      <c r="V6" s="51"/>
      <c r="W6" s="51"/>
      <c r="X6" s="51"/>
      <c r="Y6" s="51"/>
      <c r="Z6" s="51"/>
      <c r="AA6" s="51"/>
      <c r="AB6" s="51"/>
      <c r="AC6" s="51"/>
      <c r="AD6" s="53"/>
      <c r="AE6" s="51"/>
      <c r="AF6" s="51"/>
      <c r="AG6" s="51"/>
      <c r="AH6" s="51"/>
      <c r="AI6" s="51"/>
    </row>
    <row r="7" spans="1:129">
      <c r="C7" s="10"/>
      <c r="D7" s="11"/>
      <c r="E7" s="12"/>
      <c r="F7" s="13"/>
      <c r="G7" s="14"/>
      <c r="H7" s="12"/>
      <c r="I7" s="12"/>
      <c r="J7" s="15"/>
      <c r="K7" s="14"/>
      <c r="L7" s="12"/>
      <c r="M7" s="15"/>
      <c r="N7" s="14"/>
      <c r="O7" s="12"/>
      <c r="P7" s="15"/>
      <c r="Q7" s="14"/>
      <c r="R7" s="12"/>
      <c r="S7" s="15"/>
      <c r="T7" s="16"/>
      <c r="U7" s="17"/>
      <c r="V7" s="17"/>
      <c r="W7" s="17"/>
      <c r="X7" s="17"/>
      <c r="Y7" s="17"/>
      <c r="Z7" s="17"/>
      <c r="AA7" s="17"/>
      <c r="AB7" s="17"/>
      <c r="AC7" s="17"/>
      <c r="AD7" s="18"/>
      <c r="AE7" s="17">
        <f>IF(C7="削除",99,1)</f>
        <v>1</v>
      </c>
      <c r="AF7" s="17"/>
      <c r="AG7" s="17"/>
      <c r="AH7" s="17"/>
      <c r="AI7" s="17"/>
    </row>
    <row r="8" spans="1:129">
      <c r="C8" s="10"/>
      <c r="D8" s="11"/>
      <c r="E8" s="12"/>
      <c r="F8" s="13"/>
      <c r="G8" s="14"/>
      <c r="H8" s="12"/>
      <c r="I8" s="12"/>
      <c r="J8" s="15"/>
      <c r="K8" s="14"/>
      <c r="L8" s="12"/>
      <c r="M8" s="15"/>
      <c r="N8" s="14"/>
      <c r="O8" s="12"/>
      <c r="P8" s="15"/>
      <c r="Q8" s="14"/>
      <c r="R8" s="12"/>
      <c r="S8" s="15"/>
      <c r="T8" s="16"/>
      <c r="U8" s="17"/>
      <c r="V8" s="17"/>
      <c r="W8" s="17"/>
      <c r="X8" s="17"/>
      <c r="Y8" s="17"/>
      <c r="Z8" s="17"/>
      <c r="AA8" s="17"/>
      <c r="AB8" s="17"/>
      <c r="AC8" s="17"/>
      <c r="AD8" s="18"/>
      <c r="AE8" s="17">
        <f>IF(C8="削除",99,1)</f>
        <v>1</v>
      </c>
      <c r="AF8" s="17"/>
      <c r="AG8" s="17"/>
      <c r="AH8" s="17"/>
      <c r="AI8" s="17"/>
    </row>
    <row r="9" spans="1:129">
      <c r="C9" s="10"/>
      <c r="D9" s="11"/>
      <c r="E9" s="12"/>
      <c r="F9" s="13"/>
      <c r="G9" s="14"/>
      <c r="H9" s="12"/>
      <c r="I9" s="12"/>
      <c r="J9" s="15"/>
      <c r="K9" s="14"/>
      <c r="L9" s="12"/>
      <c r="M9" s="15"/>
      <c r="N9" s="14"/>
      <c r="O9" s="12"/>
      <c r="P9" s="15"/>
      <c r="Q9" s="14"/>
      <c r="R9" s="12"/>
      <c r="S9" s="15"/>
      <c r="T9" s="16"/>
      <c r="U9" s="17"/>
      <c r="V9" s="17"/>
      <c r="W9" s="17"/>
      <c r="X9" s="17"/>
      <c r="Y9" s="17"/>
      <c r="Z9" s="17"/>
      <c r="AA9" s="17"/>
      <c r="AB9" s="17"/>
      <c r="AC9" s="17"/>
      <c r="AD9" s="18"/>
      <c r="AE9" s="17">
        <f>IF(C9="削除",99,1)</f>
        <v>1</v>
      </c>
      <c r="AF9" s="17"/>
      <c r="AG9" s="17"/>
      <c r="AH9" s="17"/>
      <c r="AI9" s="17"/>
    </row>
    <row r="10" spans="1:129">
      <c r="C10" s="10"/>
      <c r="D10" s="11"/>
      <c r="E10" s="12"/>
      <c r="F10" s="13"/>
      <c r="G10" s="14"/>
      <c r="H10" s="12"/>
      <c r="I10" s="12"/>
      <c r="J10" s="15"/>
      <c r="K10" s="14"/>
      <c r="L10" s="12"/>
      <c r="M10" s="15"/>
      <c r="N10" s="14"/>
      <c r="O10" s="12"/>
      <c r="P10" s="15"/>
      <c r="Q10" s="14"/>
      <c r="R10" s="12"/>
      <c r="S10" s="15"/>
      <c r="T10" s="16"/>
      <c r="U10" s="17"/>
      <c r="V10" s="17"/>
      <c r="W10" s="17"/>
      <c r="X10" s="17"/>
      <c r="Y10" s="17"/>
      <c r="Z10" s="17"/>
      <c r="AA10" s="17"/>
      <c r="AB10" s="17"/>
      <c r="AC10" s="17"/>
      <c r="AD10" s="18"/>
      <c r="AE10" s="17">
        <f>IF(C10="削除",99,1)</f>
        <v>1</v>
      </c>
      <c r="AF10" s="17"/>
      <c r="AG10" s="17"/>
      <c r="AH10" s="17"/>
      <c r="AI10" s="17"/>
    </row>
    <row r="11" spans="1:129">
      <c r="C11" s="10"/>
      <c r="D11" s="11"/>
      <c r="E11" s="12"/>
      <c r="F11" s="13"/>
      <c r="G11" s="14"/>
      <c r="H11" s="12"/>
      <c r="I11" s="12"/>
      <c r="J11" s="15"/>
      <c r="K11" s="14"/>
      <c r="L11" s="12"/>
      <c r="M11" s="15"/>
      <c r="N11" s="14"/>
      <c r="O11" s="12"/>
      <c r="P11" s="15"/>
      <c r="Q11" s="14"/>
      <c r="R11" s="12"/>
      <c r="S11" s="15"/>
      <c r="T11" s="16"/>
      <c r="U11" s="17"/>
      <c r="V11" s="17"/>
      <c r="W11" s="17"/>
      <c r="X11" s="17"/>
      <c r="Y11" s="17"/>
      <c r="Z11" s="17"/>
      <c r="AA11" s="17"/>
      <c r="AB11" s="17"/>
      <c r="AC11" s="17"/>
      <c r="AD11" s="18"/>
      <c r="AE11" s="17">
        <f>IF(C11="削除",99,1)</f>
        <v>1</v>
      </c>
      <c r="AF11" s="17"/>
      <c r="AG11" s="17"/>
      <c r="AH11" s="17"/>
      <c r="AI11" s="17"/>
    </row>
    <row r="12" spans="1:129">
      <c r="C12" s="10"/>
      <c r="D12" s="11"/>
      <c r="E12" s="12"/>
      <c r="F12" s="13"/>
      <c r="G12" s="14"/>
      <c r="H12" s="12"/>
      <c r="I12" s="12"/>
      <c r="J12" s="15"/>
      <c r="K12" s="14"/>
      <c r="L12" s="12"/>
      <c r="M12" s="15"/>
      <c r="N12" s="14"/>
      <c r="O12" s="12"/>
      <c r="P12" s="15"/>
      <c r="Q12" s="14"/>
      <c r="R12" s="12"/>
      <c r="S12" s="15"/>
      <c r="T12" s="16"/>
      <c r="U12" s="17"/>
      <c r="V12" s="17"/>
      <c r="W12" s="17"/>
      <c r="X12" s="17"/>
      <c r="Y12" s="17"/>
      <c r="Z12" s="17"/>
      <c r="AA12" s="17"/>
      <c r="AB12" s="17"/>
      <c r="AC12" s="17"/>
      <c r="AD12" s="18"/>
      <c r="AE12" s="17">
        <f>IF(C12="削除",99,1)</f>
        <v>1</v>
      </c>
      <c r="AF12" s="17"/>
      <c r="AG12" s="17"/>
      <c r="AH12" s="17"/>
      <c r="AI12" s="17"/>
    </row>
  </sheetData>
  <sheetProtection autoFilter="0"/>
  <autoFilter ref="C6:AI10"/>
  <mergeCells count="24">
    <mergeCell ref="W5:W6"/>
    <mergeCell ref="C5:C6"/>
    <mergeCell ref="D5:D6"/>
    <mergeCell ref="E5:E6"/>
    <mergeCell ref="F5:F6"/>
    <mergeCell ref="G5:J5"/>
    <mergeCell ref="K5:M5"/>
    <mergeCell ref="N5:P5"/>
    <mergeCell ref="Q5:S5"/>
    <mergeCell ref="T5:T6"/>
    <mergeCell ref="U5:U6"/>
    <mergeCell ref="V5:V6"/>
    <mergeCell ref="AI5:AI6"/>
    <mergeCell ref="X5:X6"/>
    <mergeCell ref="Y5:Y6"/>
    <mergeCell ref="Z5:Z6"/>
    <mergeCell ref="AA5:AA6"/>
    <mergeCell ref="AB5:AB6"/>
    <mergeCell ref="AC5:AC6"/>
    <mergeCell ref="AD5:AD6"/>
    <mergeCell ref="AE5:AE6"/>
    <mergeCell ref="AF5:AF6"/>
    <mergeCell ref="AG5:AG6"/>
    <mergeCell ref="AH5:AH6"/>
  </mergeCells>
  <phoneticPr fontId="2"/>
  <dataValidations count="3">
    <dataValidation type="list" allowBlank="1" showInputMessage="1" showErrorMessage="1" sqref="C3 C7:C12">
      <formula1>"削除"</formula1>
    </dataValidation>
    <dataValidation type="list" allowBlank="1" showInputMessage="1" showErrorMessage="1" sqref="F3 F7:F12">
      <formula1>"質問,指摘事項,その他"</formula1>
    </dataValidation>
    <dataValidation type="list" allowBlank="1" showInputMessage="1" showErrorMessage="1" sqref="E3 E7:E12">
      <formula1>"JR,SS"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91"/>
  <dimension ref="A1:F73"/>
  <sheetViews>
    <sheetView tabSelected="1" workbookViewId="0">
      <pane xSplit="3" ySplit="1" topLeftCell="D41" activePane="bottomRight" state="frozen"/>
      <selection activeCell="E43" sqref="E43"/>
      <selection pane="topRight" activeCell="E43" sqref="E43"/>
      <selection pane="bottomLeft" activeCell="E43" sqref="E43"/>
      <selection pane="bottomRight" activeCell="E66" sqref="E66"/>
    </sheetView>
  </sheetViews>
  <sheetFormatPr defaultRowHeight="11.25"/>
  <cols>
    <col min="1" max="1" width="7.5" style="28" bestFit="1" customWidth="1"/>
    <col min="2" max="2" width="17.375" style="28" bestFit="1" customWidth="1"/>
    <col min="3" max="3" width="15.875" style="28" customWidth="1"/>
    <col min="4" max="4" width="39.125" style="28" customWidth="1"/>
    <col min="5" max="5" width="19.125" style="28" bestFit="1" customWidth="1"/>
    <col min="6" max="16384" width="9" style="28"/>
  </cols>
  <sheetData>
    <row r="1" spans="1:5" ht="35.25" customHeight="1">
      <c r="A1" s="49" t="s">
        <v>144</v>
      </c>
      <c r="B1" s="49" t="s">
        <v>59</v>
      </c>
      <c r="C1" s="49" t="s">
        <v>60</v>
      </c>
      <c r="D1" s="49" t="s">
        <v>145</v>
      </c>
      <c r="E1" s="49" t="s">
        <v>237</v>
      </c>
    </row>
    <row r="2" spans="1:5" ht="11.25" customHeight="1">
      <c r="A2" s="33" t="s">
        <v>143</v>
      </c>
      <c r="B2" s="30" t="s">
        <v>88</v>
      </c>
      <c r="C2" s="45">
        <v>43411.402743055558</v>
      </c>
      <c r="D2" s="42" t="str">
        <f>"×"</f>
        <v>×</v>
      </c>
      <c r="E2" s="42" t="str">
        <f>"×"</f>
        <v>×</v>
      </c>
    </row>
    <row r="3" spans="1:5">
      <c r="A3" s="33" t="s">
        <v>143</v>
      </c>
      <c r="B3" s="30" t="s">
        <v>89</v>
      </c>
      <c r="C3" s="43">
        <f>サーバー時刻</f>
        <v>43411.402743055558</v>
      </c>
      <c r="D3" s="42" t="str">
        <f t="shared" ref="D3:E29" si="0">"×"</f>
        <v>×</v>
      </c>
      <c r="E3" s="42" t="str">
        <f t="shared" si="0"/>
        <v>×</v>
      </c>
    </row>
    <row r="4" spans="1:5">
      <c r="A4" s="33" t="s">
        <v>143</v>
      </c>
      <c r="B4" s="30" t="s">
        <v>90</v>
      </c>
      <c r="C4" s="44">
        <f>サーバー時刻</f>
        <v>43411.402743055558</v>
      </c>
      <c r="D4" s="42" t="str">
        <f t="shared" si="0"/>
        <v>×</v>
      </c>
      <c r="E4" s="42" t="str">
        <f t="shared" si="0"/>
        <v>×</v>
      </c>
    </row>
    <row r="5" spans="1:5">
      <c r="A5" s="33" t="s">
        <v>143</v>
      </c>
      <c r="B5" s="30" t="s">
        <v>81</v>
      </c>
      <c r="C5" s="46">
        <v>2018</v>
      </c>
      <c r="D5" s="42" t="str">
        <f t="shared" si="0"/>
        <v>×</v>
      </c>
      <c r="E5" s="42" t="str">
        <f t="shared" si="0"/>
        <v>×</v>
      </c>
    </row>
    <row r="6" spans="1:5">
      <c r="A6" s="33" t="s">
        <v>143</v>
      </c>
      <c r="B6" s="29" t="s">
        <v>131</v>
      </c>
      <c r="C6" s="47"/>
      <c r="D6" s="42" t="str">
        <f t="shared" si="0"/>
        <v>×</v>
      </c>
      <c r="E6" s="42" t="str">
        <f t="shared" si="0"/>
        <v>×</v>
      </c>
    </row>
    <row r="7" spans="1:5">
      <c r="A7" s="33" t="s">
        <v>143</v>
      </c>
      <c r="B7" s="30" t="s">
        <v>66</v>
      </c>
      <c r="C7" s="46">
        <v>201604010</v>
      </c>
      <c r="D7" s="42" t="str">
        <f t="shared" si="0"/>
        <v>×</v>
      </c>
      <c r="E7" s="42" t="str">
        <f t="shared" si="0"/>
        <v>×</v>
      </c>
    </row>
    <row r="8" spans="1:5">
      <c r="A8" s="33" t="s">
        <v>143</v>
      </c>
      <c r="B8" s="29" t="s">
        <v>132</v>
      </c>
      <c r="C8" s="47"/>
      <c r="D8" s="42" t="str">
        <f t="shared" si="0"/>
        <v>×</v>
      </c>
      <c r="E8" s="42" t="str">
        <f t="shared" si="0"/>
        <v>×</v>
      </c>
    </row>
    <row r="9" spans="1:5">
      <c r="A9" s="33" t="s">
        <v>143</v>
      </c>
      <c r="B9" s="29" t="s">
        <v>133</v>
      </c>
      <c r="C9" s="47"/>
      <c r="D9" s="42" t="str">
        <f t="shared" si="0"/>
        <v>×</v>
      </c>
      <c r="E9" s="42" t="str">
        <f t="shared" si="0"/>
        <v>×</v>
      </c>
    </row>
    <row r="10" spans="1:5">
      <c r="A10" s="32" t="s">
        <v>142</v>
      </c>
      <c r="B10" s="31" t="s">
        <v>62</v>
      </c>
      <c r="C10" s="46"/>
      <c r="D10" s="42" t="str">
        <f t="shared" si="0"/>
        <v>×</v>
      </c>
      <c r="E10" s="42" t="str">
        <f t="shared" si="0"/>
        <v>×</v>
      </c>
    </row>
    <row r="11" spans="1:5">
      <c r="A11" s="32" t="s">
        <v>142</v>
      </c>
      <c r="B11" s="31" t="s">
        <v>63</v>
      </c>
      <c r="C11" s="42" t="str">
        <f>IF(C10=1,"メニューバー非表示","メニューバー表示")</f>
        <v>メニューバー表示</v>
      </c>
      <c r="D11" s="42" t="str">
        <f t="shared" si="0"/>
        <v>×</v>
      </c>
      <c r="E11" s="42" t="str">
        <f t="shared" si="0"/>
        <v>×</v>
      </c>
    </row>
    <row r="12" spans="1:5">
      <c r="A12" s="32" t="s">
        <v>142</v>
      </c>
      <c r="B12" s="31" t="s">
        <v>64</v>
      </c>
      <c r="C12" s="46"/>
      <c r="D12" s="42" t="str">
        <f t="shared" si="0"/>
        <v>×</v>
      </c>
      <c r="E12" s="42" t="str">
        <f t="shared" si="0"/>
        <v>×</v>
      </c>
    </row>
    <row r="13" spans="1:5">
      <c r="A13" s="32" t="s">
        <v>142</v>
      </c>
      <c r="B13" s="31" t="s">
        <v>65</v>
      </c>
      <c r="C13" s="42" t="str">
        <f>IF(C12=1,"マニュアル非表示","マニュアル表示")</f>
        <v>マニュアル表示</v>
      </c>
      <c r="D13" s="42" t="str">
        <f t="shared" si="0"/>
        <v>×</v>
      </c>
      <c r="E13" s="42" t="str">
        <f t="shared" si="0"/>
        <v>×</v>
      </c>
    </row>
    <row r="14" spans="1:5">
      <c r="A14" s="32" t="s">
        <v>142</v>
      </c>
      <c r="B14" s="31" t="s">
        <v>67</v>
      </c>
      <c r="C14" s="46"/>
      <c r="D14" s="42" t="str">
        <f t="shared" si="0"/>
        <v>×</v>
      </c>
      <c r="E14" s="42" t="str">
        <f t="shared" si="0"/>
        <v>×</v>
      </c>
    </row>
    <row r="15" spans="1:5">
      <c r="A15" s="32" t="s">
        <v>142</v>
      </c>
      <c r="B15" s="31" t="s">
        <v>68</v>
      </c>
      <c r="C15" s="46" t="s">
        <v>69</v>
      </c>
      <c r="D15" s="42" t="str">
        <f t="shared" si="0"/>
        <v>×</v>
      </c>
      <c r="E15" s="42" t="str">
        <f t="shared" si="0"/>
        <v>×</v>
      </c>
    </row>
    <row r="16" spans="1:5">
      <c r="A16" s="32" t="s">
        <v>142</v>
      </c>
      <c r="B16" s="31" t="s">
        <v>70</v>
      </c>
      <c r="C16" s="42" t="b">
        <f>IF(OR(LEFT(メニュー識別名,3)="M33",LEFT(メニュー識別名,3)="M43"),"予算調書",IF(OR(LEFT(メニュー識別名,3)="M34",LEFT(メニュー識別名,3)="M44"),"予算実施書"))</f>
        <v>0</v>
      </c>
      <c r="D16" s="42" t="str">
        <f t="shared" si="0"/>
        <v>×</v>
      </c>
      <c r="E16" s="42" t="str">
        <f t="shared" si="0"/>
        <v>×</v>
      </c>
    </row>
    <row r="17" spans="1:5">
      <c r="A17" s="32" t="s">
        <v>142</v>
      </c>
      <c r="B17" s="31" t="s">
        <v>71</v>
      </c>
      <c r="C17" s="46" t="s">
        <v>61</v>
      </c>
      <c r="D17" s="42" t="str">
        <f t="shared" si="0"/>
        <v>×</v>
      </c>
      <c r="E17" s="42" t="str">
        <f t="shared" si="0"/>
        <v>×</v>
      </c>
    </row>
    <row r="18" spans="1:5">
      <c r="A18" s="32" t="s">
        <v>142</v>
      </c>
      <c r="B18" s="31" t="s">
        <v>72</v>
      </c>
      <c r="C18" s="42">
        <f>MATCH(アクティブシート名,A1:D1,0)</f>
        <v>4</v>
      </c>
      <c r="D18" s="42" t="str">
        <f t="shared" si="0"/>
        <v>×</v>
      </c>
      <c r="E18" s="42" t="str">
        <f t="shared" si="0"/>
        <v>×</v>
      </c>
    </row>
    <row r="19" spans="1:5">
      <c r="A19" s="32" t="s">
        <v>142</v>
      </c>
      <c r="B19" s="31" t="s">
        <v>73</v>
      </c>
      <c r="C19" s="46"/>
      <c r="D19" s="42" t="str">
        <f t="shared" si="0"/>
        <v>×</v>
      </c>
      <c r="E19" s="42" t="str">
        <f t="shared" si="0"/>
        <v>×</v>
      </c>
    </row>
    <row r="20" spans="1:5">
      <c r="A20" s="32" t="s">
        <v>142</v>
      </c>
      <c r="B20" s="31" t="s">
        <v>74</v>
      </c>
      <c r="C20" s="42" t="str">
        <f>IF(権限=201604011,IF(遷移モード="他メニュー","非表示","表示"),"非表示")</f>
        <v>非表示</v>
      </c>
      <c r="D20" s="42" t="str">
        <f t="shared" si="0"/>
        <v>×</v>
      </c>
      <c r="E20" s="42" t="str">
        <f t="shared" si="0"/>
        <v>×</v>
      </c>
    </row>
    <row r="21" spans="1:5">
      <c r="A21" s="32" t="s">
        <v>142</v>
      </c>
      <c r="B21" s="31" t="s">
        <v>75</v>
      </c>
      <c r="C21" s="46" t="s">
        <v>76</v>
      </c>
      <c r="D21" s="42" t="str">
        <f t="shared" si="0"/>
        <v>×</v>
      </c>
      <c r="E21" s="42" t="str">
        <f t="shared" si="0"/>
        <v>×</v>
      </c>
    </row>
    <row r="22" spans="1:5">
      <c r="A22" s="32" t="s">
        <v>142</v>
      </c>
      <c r="B22" s="31" t="s">
        <v>77</v>
      </c>
      <c r="C22" s="42" t="str">
        <f>IF(OR(権限=201604009,権限=201704009),"閲覧",IF(権限=201604010,"編集",IF(権限=201604011,IF(PWD種類="件名別",IF(締めフラグ=1,"閲覧","編集"),IF(PWD種類="発議部","閲覧")))))</f>
        <v>編集</v>
      </c>
      <c r="D22" s="42" t="str">
        <f t="shared" si="0"/>
        <v>×</v>
      </c>
      <c r="E22" s="42" t="str">
        <f t="shared" si="0"/>
        <v>×</v>
      </c>
    </row>
    <row r="23" spans="1:5">
      <c r="A23" s="32" t="s">
        <v>142</v>
      </c>
      <c r="B23" s="31" t="s">
        <v>78</v>
      </c>
      <c r="C23" s="46" t="s">
        <v>79</v>
      </c>
      <c r="D23" s="42" t="str">
        <f t="shared" si="0"/>
        <v>×</v>
      </c>
      <c r="E23" s="42" t="str">
        <f t="shared" si="0"/>
        <v>×</v>
      </c>
    </row>
    <row r="24" spans="1:5">
      <c r="A24" s="32" t="s">
        <v>142</v>
      </c>
      <c r="B24" s="31" t="s">
        <v>80</v>
      </c>
      <c r="C24" s="42" t="str">
        <f>IF(調書入力モード="予算調書入力","予算実施書切替",IF(調書入力モード="予算実施書入力","予算調書切替"))</f>
        <v>予算実施書切替</v>
      </c>
      <c r="D24" s="42" t="str">
        <f t="shared" si="0"/>
        <v>×</v>
      </c>
      <c r="E24" s="42" t="str">
        <f t="shared" si="0"/>
        <v>×</v>
      </c>
    </row>
    <row r="25" spans="1:5">
      <c r="A25" s="32" t="s">
        <v>142</v>
      </c>
      <c r="B25" s="31" t="s">
        <v>82</v>
      </c>
      <c r="C25" s="46">
        <v>9001</v>
      </c>
      <c r="D25" s="42" t="str">
        <f t="shared" si="0"/>
        <v>×</v>
      </c>
      <c r="E25" s="42" t="str">
        <f t="shared" si="0"/>
        <v>×</v>
      </c>
    </row>
    <row r="26" spans="1:5">
      <c r="A26" s="32" t="s">
        <v>142</v>
      </c>
      <c r="B26" s="31" t="s">
        <v>83</v>
      </c>
      <c r="C26" s="46"/>
      <c r="D26" s="42" t="str">
        <f t="shared" si="0"/>
        <v>×</v>
      </c>
      <c r="E26" s="42" t="str">
        <f t="shared" si="0"/>
        <v>×</v>
      </c>
    </row>
    <row r="27" spans="1:5">
      <c r="A27" s="32" t="s">
        <v>142</v>
      </c>
      <c r="B27" s="31" t="s">
        <v>84</v>
      </c>
      <c r="C27" s="46"/>
      <c r="D27" s="42" t="str">
        <f t="shared" si="0"/>
        <v>×</v>
      </c>
      <c r="E27" s="42" t="str">
        <f t="shared" si="0"/>
        <v>×</v>
      </c>
    </row>
    <row r="28" spans="1:5">
      <c r="A28" s="32" t="s">
        <v>142</v>
      </c>
      <c r="B28" s="31" t="s">
        <v>85</v>
      </c>
      <c r="C28" s="46" t="s">
        <v>86</v>
      </c>
      <c r="D28" s="42" t="str">
        <f t="shared" si="0"/>
        <v>×</v>
      </c>
      <c r="E28" s="42" t="str">
        <f t="shared" si="0"/>
        <v>×</v>
      </c>
    </row>
    <row r="29" spans="1:5">
      <c r="A29" s="32" t="s">
        <v>142</v>
      </c>
      <c r="B29" s="31" t="s">
        <v>87</v>
      </c>
      <c r="C29" s="43" t="e">
        <f ca="1">メニュー名&amp;"("&amp;ログイン年度&amp;調書NO&amp;"_"&amp;TEXT(NOW(),"yymmddhhmmss")&amp;").xlsx"</f>
        <v>#NAME?</v>
      </c>
      <c r="D29" s="42" t="str">
        <f t="shared" si="0"/>
        <v>×</v>
      </c>
      <c r="E29" s="42" t="str">
        <f t="shared" si="0"/>
        <v>×</v>
      </c>
    </row>
    <row r="30" spans="1:5">
      <c r="A30" s="34" t="s">
        <v>138</v>
      </c>
      <c r="B30" s="35" t="s">
        <v>100</v>
      </c>
      <c r="C30" s="42">
        <f t="shared" ref="C30:C73" ca="1" si="1">INDIRECT(SUBSTITUTE(ADDRESS(1,dbscset列数,4),1,"")&amp;ROW())</f>
        <v>3</v>
      </c>
      <c r="D30" s="46">
        <v>3</v>
      </c>
      <c r="E30" s="42" t="str">
        <f t="shared" ref="E30:E39" si="2">"×"</f>
        <v>×</v>
      </c>
    </row>
    <row r="31" spans="1:5">
      <c r="A31" s="34" t="s">
        <v>138</v>
      </c>
      <c r="B31" s="35" t="s">
        <v>101</v>
      </c>
      <c r="C31" s="42">
        <f t="shared" ca="1" si="1"/>
        <v>3</v>
      </c>
      <c r="D31" s="46">
        <v>3</v>
      </c>
      <c r="E31" s="42" t="str">
        <f t="shared" si="2"/>
        <v>×</v>
      </c>
    </row>
    <row r="32" spans="1:5">
      <c r="A32" s="34" t="s">
        <v>138</v>
      </c>
      <c r="B32" s="35" t="s">
        <v>102</v>
      </c>
      <c r="C32" s="42">
        <f t="shared" ca="1" si="1"/>
        <v>4</v>
      </c>
      <c r="D32" s="46">
        <v>4</v>
      </c>
      <c r="E32" s="42" t="str">
        <f t="shared" si="2"/>
        <v>×</v>
      </c>
    </row>
    <row r="33" spans="1:6">
      <c r="A33" s="34" t="s">
        <v>138</v>
      </c>
      <c r="B33" s="35" t="s">
        <v>91</v>
      </c>
      <c r="C33" s="42">
        <f t="shared" ca="1" si="1"/>
        <v>5</v>
      </c>
      <c r="D33" s="46">
        <v>5</v>
      </c>
      <c r="E33" s="42" t="str">
        <f t="shared" si="2"/>
        <v>×</v>
      </c>
    </row>
    <row r="34" spans="1:6">
      <c r="A34" s="34" t="s">
        <v>138</v>
      </c>
      <c r="B34" s="35" t="s">
        <v>92</v>
      </c>
      <c r="C34" s="42">
        <f t="shared" ca="1" si="1"/>
        <v>6</v>
      </c>
      <c r="D34" s="46">
        <v>6</v>
      </c>
      <c r="E34" s="42" t="str">
        <f t="shared" si="2"/>
        <v>×</v>
      </c>
    </row>
    <row r="35" spans="1:6">
      <c r="A35" s="34" t="s">
        <v>138</v>
      </c>
      <c r="B35" s="35" t="s">
        <v>93</v>
      </c>
      <c r="C35" s="42">
        <f t="shared" ca="1" si="1"/>
        <v>7</v>
      </c>
      <c r="D35" s="46">
        <v>7</v>
      </c>
      <c r="E35" s="42" t="str">
        <f t="shared" si="2"/>
        <v>×</v>
      </c>
    </row>
    <row r="36" spans="1:6">
      <c r="A36" s="34" t="s">
        <v>138</v>
      </c>
      <c r="B36" s="35" t="s">
        <v>146</v>
      </c>
      <c r="C36" s="42">
        <f t="shared" ca="1" si="1"/>
        <v>0</v>
      </c>
      <c r="D36" s="42">
        <f t="array" aca="1" ref="D36" ca="1">MIN(IF((LEN(INDIRECT(D65))&gt;0)*ROW(INDIRECT(D65))=0,"",(LEN(INDIRECT(D65))&gt;0)*ROW(INDIRECT(D65))))</f>
        <v>0</v>
      </c>
      <c r="E36" s="42" t="str">
        <f t="shared" si="2"/>
        <v>×</v>
      </c>
      <c r="F36" s="28" t="s">
        <v>157</v>
      </c>
    </row>
    <row r="37" spans="1:6">
      <c r="A37" s="34" t="s">
        <v>138</v>
      </c>
      <c r="B37" s="35" t="s">
        <v>147</v>
      </c>
      <c r="C37" s="42">
        <f t="shared" ca="1" si="1"/>
        <v>0</v>
      </c>
      <c r="D37" s="42">
        <f t="array" aca="1" ref="D37" ca="1">MAX(IF((LEN(INDIRECT(D65))&gt;0)*ROW(INDIRECT(D65))=0,"",(LEN(INDIRECT(D65))&gt;0)*ROW(INDIRECT(D65))))</f>
        <v>0</v>
      </c>
      <c r="E37" s="42" t="str">
        <f t="shared" si="2"/>
        <v>×</v>
      </c>
      <c r="F37" s="28" t="s">
        <v>157</v>
      </c>
    </row>
    <row r="38" spans="1:6">
      <c r="A38" s="34" t="s">
        <v>138</v>
      </c>
      <c r="B38" s="35" t="s">
        <v>94</v>
      </c>
      <c r="C38" s="42">
        <f t="shared" ca="1" si="1"/>
        <v>12</v>
      </c>
      <c r="D38" s="42">
        <f>D35+D41</f>
        <v>12</v>
      </c>
      <c r="E38" s="42" t="str">
        <f t="shared" si="2"/>
        <v>×</v>
      </c>
    </row>
    <row r="39" spans="1:6">
      <c r="A39" s="34" t="s">
        <v>138</v>
      </c>
      <c r="B39" s="35" t="s">
        <v>153</v>
      </c>
      <c r="C39" s="42">
        <f t="shared" ca="1" si="1"/>
        <v>3</v>
      </c>
      <c r="D39" s="46">
        <v>3</v>
      </c>
      <c r="E39" s="42" t="str">
        <f t="shared" si="2"/>
        <v>×</v>
      </c>
    </row>
    <row r="40" spans="1:6">
      <c r="A40" s="34" t="s">
        <v>138</v>
      </c>
      <c r="B40" s="35" t="s">
        <v>95</v>
      </c>
      <c r="C40" s="42">
        <f t="shared" ca="1" si="1"/>
        <v>2</v>
      </c>
      <c r="D40" s="46">
        <v>2</v>
      </c>
      <c r="E40" s="42" t="str">
        <f>"×"</f>
        <v>×</v>
      </c>
    </row>
    <row r="41" spans="1:6">
      <c r="A41" s="34" t="s">
        <v>138</v>
      </c>
      <c r="B41" s="35" t="s">
        <v>96</v>
      </c>
      <c r="C41" s="42">
        <f t="shared" ca="1" si="1"/>
        <v>5</v>
      </c>
      <c r="D41" s="42">
        <f>D39+D40</f>
        <v>5</v>
      </c>
      <c r="E41" s="42" t="str">
        <f t="shared" ref="E41:E65" si="3">"×"</f>
        <v>×</v>
      </c>
    </row>
    <row r="42" spans="1:6">
      <c r="A42" s="34" t="s">
        <v>138</v>
      </c>
      <c r="B42" s="35" t="s">
        <v>97</v>
      </c>
      <c r="C42" s="42">
        <f t="shared" ca="1" si="1"/>
        <v>-6</v>
      </c>
      <c r="D42" s="42">
        <f ca="1">D37-D35+1</f>
        <v>-6</v>
      </c>
      <c r="E42" s="42" t="str">
        <f t="shared" si="3"/>
        <v>×</v>
      </c>
    </row>
    <row r="43" spans="1:6">
      <c r="A43" s="34" t="s">
        <v>138</v>
      </c>
      <c r="B43" s="35" t="s">
        <v>126</v>
      </c>
      <c r="C43" s="42" t="str">
        <f t="shared" ca="1" si="1"/>
        <v>3:4</v>
      </c>
      <c r="D43" s="48" t="s">
        <v>127</v>
      </c>
      <c r="E43" s="42" t="str">
        <f t="shared" si="3"/>
        <v>×</v>
      </c>
    </row>
    <row r="44" spans="1:6">
      <c r="A44" s="38" t="s">
        <v>139</v>
      </c>
      <c r="B44" s="39" t="s">
        <v>104</v>
      </c>
      <c r="C44" s="42" t="str">
        <f t="shared" ca="1" si="1"/>
        <v>C</v>
      </c>
      <c r="D44" s="46" t="s">
        <v>109</v>
      </c>
      <c r="E44" s="42" t="str">
        <f t="shared" si="3"/>
        <v>×</v>
      </c>
    </row>
    <row r="45" spans="1:6">
      <c r="A45" s="38" t="s">
        <v>139</v>
      </c>
      <c r="B45" s="39" t="s">
        <v>105</v>
      </c>
      <c r="C45" s="42" t="str">
        <f t="shared" ca="1" si="1"/>
        <v>D</v>
      </c>
      <c r="D45" s="46" t="s">
        <v>110</v>
      </c>
      <c r="E45" s="42" t="str">
        <f t="shared" si="3"/>
        <v>×</v>
      </c>
    </row>
    <row r="46" spans="1:6">
      <c r="A46" s="38" t="s">
        <v>139</v>
      </c>
      <c r="B46" s="39" t="s">
        <v>106</v>
      </c>
      <c r="C46" s="42" t="str">
        <f t="shared" ca="1" si="1"/>
        <v>T</v>
      </c>
      <c r="D46" s="46" t="s">
        <v>111</v>
      </c>
      <c r="E46" s="42" t="str">
        <f t="shared" si="3"/>
        <v>×</v>
      </c>
    </row>
    <row r="47" spans="1:6">
      <c r="A47" s="38" t="s">
        <v>139</v>
      </c>
      <c r="B47" s="39" t="s">
        <v>112</v>
      </c>
      <c r="C47" s="42" t="str">
        <f t="shared" ca="1" si="1"/>
        <v>U</v>
      </c>
      <c r="D47" s="46" t="s">
        <v>116</v>
      </c>
      <c r="E47" s="42" t="str">
        <f t="shared" si="3"/>
        <v>×</v>
      </c>
    </row>
    <row r="48" spans="1:6">
      <c r="A48" s="38" t="s">
        <v>139</v>
      </c>
      <c r="B48" s="39" t="s">
        <v>113</v>
      </c>
      <c r="C48" s="42" t="str">
        <f t="shared" ca="1" si="1"/>
        <v>AD</v>
      </c>
      <c r="D48" s="46" t="s">
        <v>117</v>
      </c>
      <c r="E48" s="42" t="str">
        <f t="shared" si="3"/>
        <v>×</v>
      </c>
    </row>
    <row r="49" spans="1:5">
      <c r="A49" s="38" t="s">
        <v>139</v>
      </c>
      <c r="B49" s="39" t="s">
        <v>107</v>
      </c>
      <c r="C49" s="42" t="str">
        <f t="shared" ca="1" si="1"/>
        <v>AF</v>
      </c>
      <c r="D49" s="46" t="s">
        <v>114</v>
      </c>
      <c r="E49" s="42" t="str">
        <f t="shared" si="3"/>
        <v>×</v>
      </c>
    </row>
    <row r="50" spans="1:5">
      <c r="A50" s="38" t="s">
        <v>139</v>
      </c>
      <c r="B50" s="39" t="s">
        <v>108</v>
      </c>
      <c r="C50" s="42" t="str">
        <f t="shared" ca="1" si="1"/>
        <v>AI</v>
      </c>
      <c r="D50" s="46" t="s">
        <v>115</v>
      </c>
      <c r="E50" s="42" t="str">
        <f t="shared" si="3"/>
        <v>×</v>
      </c>
    </row>
    <row r="51" spans="1:5">
      <c r="A51" s="38" t="s">
        <v>139</v>
      </c>
      <c r="B51" s="39" t="s">
        <v>98</v>
      </c>
      <c r="C51" s="42" t="str">
        <f t="shared" ca="1" si="1"/>
        <v>D</v>
      </c>
      <c r="D51" s="46" t="s">
        <v>152</v>
      </c>
      <c r="E51" s="42" t="str">
        <f t="shared" si="3"/>
        <v>×</v>
      </c>
    </row>
    <row r="52" spans="1:5">
      <c r="A52" s="38" t="s">
        <v>139</v>
      </c>
      <c r="B52" s="39" t="s">
        <v>123</v>
      </c>
      <c r="C52" s="42" t="str">
        <f t="shared" ca="1" si="1"/>
        <v>U:AI</v>
      </c>
      <c r="D52" s="46" t="s">
        <v>119</v>
      </c>
      <c r="E52" s="42" t="str">
        <f t="shared" si="3"/>
        <v>×</v>
      </c>
    </row>
    <row r="53" spans="1:5">
      <c r="A53" s="38" t="s">
        <v>139</v>
      </c>
      <c r="B53" s="38" t="s">
        <v>124</v>
      </c>
      <c r="C53" s="42" t="str">
        <f t="shared" ca="1" si="1"/>
        <v>G:G,K:K,N:N,Q:Q,U:AI</v>
      </c>
      <c r="D53" s="42" t="str">
        <f>IF(シート区分="編集","G:G,K:K,N:N,Q:Q,"&amp;D52,D44&amp;":"&amp;D50)</f>
        <v>G:G,K:K,N:N,Q:Q,U:AI</v>
      </c>
      <c r="E53" s="42" t="str">
        <f t="shared" si="3"/>
        <v>×</v>
      </c>
    </row>
    <row r="54" spans="1:5">
      <c r="A54" s="38" t="s">
        <v>139</v>
      </c>
      <c r="B54" s="38" t="s">
        <v>125</v>
      </c>
      <c r="C54" s="42" t="str">
        <f t="shared" ca="1" si="1"/>
        <v>C:F,H:J</v>
      </c>
      <c r="D54" s="46" t="s">
        <v>128</v>
      </c>
      <c r="E54" s="42" t="str">
        <f t="shared" si="3"/>
        <v>×</v>
      </c>
    </row>
    <row r="55" spans="1:5">
      <c r="A55" s="36" t="s">
        <v>140</v>
      </c>
      <c r="B55" s="36" t="s">
        <v>118</v>
      </c>
      <c r="C55" s="42" t="str">
        <f t="shared" ca="1" si="1"/>
        <v>OPINIO_V!U:AI</v>
      </c>
      <c r="D55" s="42" t="str">
        <f>D1&amp;"!"&amp;SUBSTITUTE(D52,",",","&amp;D1&amp;"!")</f>
        <v>OPINIO_V!U:AI</v>
      </c>
      <c r="E55" s="42" t="str">
        <f t="shared" si="3"/>
        <v>×</v>
      </c>
    </row>
    <row r="56" spans="1:5">
      <c r="A56" s="36" t="s">
        <v>140</v>
      </c>
      <c r="B56" s="36" t="s">
        <v>137</v>
      </c>
      <c r="C56" s="42" t="str">
        <f t="shared" ca="1" si="1"/>
        <v>OPINIO_V!3:4</v>
      </c>
      <c r="D56" s="42" t="str">
        <f>D1&amp;"!"&amp;SUBSTITUTE(D43,",",","&amp;D1&amp;"!")</f>
        <v>OPINIO_V!3:4</v>
      </c>
      <c r="E56" s="42" t="str">
        <f t="shared" si="3"/>
        <v>×</v>
      </c>
    </row>
    <row r="57" spans="1:5">
      <c r="A57" s="36" t="s">
        <v>140</v>
      </c>
      <c r="B57" s="37" t="s">
        <v>121</v>
      </c>
      <c r="C57" s="42" t="str">
        <f t="shared" ca="1" si="1"/>
        <v>OPINIO_V!C3:AI3</v>
      </c>
      <c r="D57" s="42" t="str">
        <f>D1&amp;"!"&amp;D44&amp;D30&amp;":"&amp;D50&amp;D31</f>
        <v>OPINIO_V!C3:AI3</v>
      </c>
      <c r="E57" s="42" t="str">
        <f t="shared" si="3"/>
        <v>×</v>
      </c>
    </row>
    <row r="58" spans="1:5">
      <c r="A58" s="36" t="s">
        <v>140</v>
      </c>
      <c r="B58" s="37" t="s">
        <v>120</v>
      </c>
      <c r="C58" s="42" t="str">
        <f t="shared" ca="1" si="1"/>
        <v>OPINIO_V!C4:AI4</v>
      </c>
      <c r="D58" s="42" t="str">
        <f>D1&amp;"!"&amp;D44&amp;D32&amp;":"&amp;D50&amp;D32</f>
        <v>OPINIO_V!C4:AI4</v>
      </c>
      <c r="E58" s="42" t="str">
        <f t="shared" si="3"/>
        <v>×</v>
      </c>
    </row>
    <row r="59" spans="1:5">
      <c r="A59" s="36" t="s">
        <v>140</v>
      </c>
      <c r="B59" s="37" t="s">
        <v>122</v>
      </c>
      <c r="C59" s="42" t="str">
        <f t="shared" ca="1" si="1"/>
        <v>OPINIO_V!C5:AI6</v>
      </c>
      <c r="D59" s="42" t="str">
        <f>D1&amp;"!"&amp;D44&amp;D33&amp;":"&amp;D50&amp;D34</f>
        <v>OPINIO_V!C5:AI6</v>
      </c>
      <c r="E59" s="42" t="str">
        <f t="shared" si="3"/>
        <v>×</v>
      </c>
    </row>
    <row r="60" spans="1:5">
      <c r="A60" s="36" t="s">
        <v>140</v>
      </c>
      <c r="B60" s="37" t="s">
        <v>148</v>
      </c>
      <c r="C60" s="42" t="str">
        <f t="shared" ca="1" si="1"/>
        <v>OPINIO_V!C7:AI12</v>
      </c>
      <c r="D60" s="42" t="str">
        <f>D1&amp;"!"&amp;D44&amp;D35&amp;":"&amp;D50&amp;D38</f>
        <v>OPINIO_V!C7:AI12</v>
      </c>
      <c r="E60" s="42" t="str">
        <f t="shared" si="3"/>
        <v>×</v>
      </c>
    </row>
    <row r="61" spans="1:5">
      <c r="A61" s="36" t="s">
        <v>140</v>
      </c>
      <c r="B61" s="37" t="s">
        <v>158</v>
      </c>
      <c r="C61" s="42" t="str">
        <f t="shared" ca="1" si="1"/>
        <v>OPINIO_V!C4:AI12</v>
      </c>
      <c r="D61" s="42" t="str">
        <f>D1&amp;"!"&amp;D44&amp;D32&amp;":"&amp;D50&amp;D38</f>
        <v>OPINIO_V!C4:AI12</v>
      </c>
      <c r="E61" s="42" t="str">
        <f ca="1">CONCAT(STY010_V!AT6:AT29)</f>
        <v>STY010_V!E4:H4STY010_V!E5:H5STY010_V!L5:M5STY010_V!Q5:R5STY010_V!E7:W7STY010_V!E9STY010_V!G9STY010_V!H9:W9STY010_V!H11:J11STY010_V!L11:M11STY010_V!H12:J12STY010_V!L12:M12STY010_V!H13:J13STY010_V!L13:M13STY010_V!E15:N15STY010_V!E16:H16STY010_V!I16:N16STY010_V!E17:H17STY010_V!I17:N17STY010_V!D19:W28STY010_V!D30:D37STY010_V!E30:I37STY010_V!J30:P37STY010_V!Q30:W37</v>
      </c>
    </row>
    <row r="62" spans="1:5">
      <c r="A62" s="36" t="s">
        <v>140</v>
      </c>
      <c r="B62" s="37" t="s">
        <v>149</v>
      </c>
      <c r="C62" s="42" t="str">
        <f t="shared" ca="1" si="1"/>
        <v>OPINIO_V!D7</v>
      </c>
      <c r="D62" s="42" t="str">
        <f>D1&amp;"!"&amp;D51&amp;D35</f>
        <v>OPINIO_V!D7</v>
      </c>
      <c r="E62" s="42" t="str">
        <f t="shared" si="3"/>
        <v>×</v>
      </c>
    </row>
    <row r="63" spans="1:5">
      <c r="A63" s="36" t="s">
        <v>140</v>
      </c>
      <c r="B63" s="37" t="s">
        <v>150</v>
      </c>
      <c r="C63" s="42" t="str">
        <f t="shared" ca="1" si="1"/>
        <v>OPINIO_V!D0</v>
      </c>
      <c r="D63" s="42" t="str">
        <f ca="1">D1&amp;"!"&amp;D51&amp;D36</f>
        <v>OPINIO_V!D0</v>
      </c>
      <c r="E63" s="42" t="str">
        <f t="shared" si="3"/>
        <v>×</v>
      </c>
    </row>
    <row r="64" spans="1:5">
      <c r="A64" s="36" t="s">
        <v>140</v>
      </c>
      <c r="B64" s="37" t="s">
        <v>103</v>
      </c>
      <c r="C64" s="42" t="str">
        <f t="shared" ca="1" si="1"/>
        <v>OPINIO_V!D1</v>
      </c>
      <c r="D64" s="42" t="str">
        <f ca="1">D1&amp;"!"&amp;D51&amp;D37+1</f>
        <v>OPINIO_V!D1</v>
      </c>
      <c r="E64" s="42" t="str">
        <f>E1&amp;"!E3"</f>
        <v>STY010_V!E3</v>
      </c>
    </row>
    <row r="65" spans="1:5">
      <c r="A65" s="36" t="s">
        <v>140</v>
      </c>
      <c r="B65" s="37" t="s">
        <v>151</v>
      </c>
      <c r="C65" s="42" t="str">
        <f t="shared" ca="1" si="1"/>
        <v>OPINIO_V!D7:D12</v>
      </c>
      <c r="D65" s="42" t="str">
        <f>D1&amp;"!"&amp;D51&amp;D35&amp;":"&amp;D51&amp;D38</f>
        <v>OPINIO_V!D7:D12</v>
      </c>
      <c r="E65" s="42" t="str">
        <f t="shared" si="3"/>
        <v>×</v>
      </c>
    </row>
    <row r="66" spans="1:5">
      <c r="A66" s="36" t="s">
        <v>140</v>
      </c>
      <c r="B66" s="36" t="s">
        <v>129</v>
      </c>
      <c r="C66" s="42" t="str">
        <f t="shared" ca="1" si="1"/>
        <v>OPINIO_V!G7:G12,OPINIO_V!K7:K12,OPINIO_V!N7:N12,OPINIO_V!Q7:Q12,OPINIO_V!U7:AI12</v>
      </c>
      <c r="D66" s="42" t="str">
        <f>D1&amp;"!"&amp;SUBSTITUTE(SUBSTITUTE(SUBSTITUTE(D53,":",D35&amp;":"),",",D38&amp;",")&amp;D38,",",","&amp;D1&amp;"!")</f>
        <v>OPINIO_V!G7:G12,OPINIO_V!K7:K12,OPINIO_V!N7:N12,OPINIO_V!Q7:Q12,OPINIO_V!U7:AI12</v>
      </c>
      <c r="E66" s="46"/>
    </row>
    <row r="67" spans="1:5">
      <c r="A67" s="36" t="s">
        <v>140</v>
      </c>
      <c r="B67" s="36" t="s">
        <v>130</v>
      </c>
      <c r="C67" s="42" t="str">
        <f t="shared" ca="1" si="1"/>
        <v>OPINIO_V!C7:F12,OPINIO_V!H7:J12</v>
      </c>
      <c r="D67" s="42" t="str">
        <f>D1&amp;"!"&amp;SUBSTITUTE(SUBSTITUTE(SUBSTITUTE(D54,":",D35&amp;":"),",",D38&amp;",")&amp;D38,",",","&amp;D1&amp;"!")</f>
        <v>OPINIO_V!C7:F12,OPINIO_V!H7:J12</v>
      </c>
      <c r="E67" s="46"/>
    </row>
    <row r="68" spans="1:5">
      <c r="A68" s="36" t="s">
        <v>140</v>
      </c>
      <c r="B68" s="36" t="s">
        <v>136</v>
      </c>
      <c r="C68" s="42" t="str">
        <f t="shared" ca="1" si="1"/>
        <v>×</v>
      </c>
      <c r="D68" s="42" t="str">
        <f t="shared" ref="D68" si="4">"×"</f>
        <v>×</v>
      </c>
      <c r="E68" s="42" t="str">
        <f ca="1">CONCAT(STY010_V!AT6:AT29)</f>
        <v>STY010_V!E4:H4STY010_V!E5:H5STY010_V!L5:M5STY010_V!Q5:R5STY010_V!E7:W7STY010_V!E9STY010_V!G9STY010_V!H9:W9STY010_V!H11:J11STY010_V!L11:M11STY010_V!H12:J12STY010_V!L12:M12STY010_V!H13:J13STY010_V!L13:M13STY010_V!E15:N15STY010_V!E16:H16STY010_V!I16:N16STY010_V!E17:H17STY010_V!I17:N17STY010_V!D19:W28STY010_V!D30:D37STY010_V!E30:I37STY010_V!J30:P37STY010_V!Q30:W37</v>
      </c>
    </row>
    <row r="69" spans="1:5">
      <c r="A69" s="40" t="s">
        <v>141</v>
      </c>
      <c r="B69" s="41" t="s">
        <v>159</v>
      </c>
      <c r="C69" s="42" t="str">
        <f t="shared" ca="1" si="1"/>
        <v>リスト型</v>
      </c>
      <c r="D69" s="46" t="s">
        <v>160</v>
      </c>
      <c r="E69" s="46" t="s">
        <v>161</v>
      </c>
    </row>
    <row r="70" spans="1:5">
      <c r="A70" s="40" t="s">
        <v>141</v>
      </c>
      <c r="B70" s="41" t="s">
        <v>99</v>
      </c>
      <c r="C70" s="42" t="str">
        <f t="shared" ca="1" si="1"/>
        <v>$D$35</v>
      </c>
      <c r="D70" s="42" t="str">
        <f>ADDRESS(ROW(入力開始行数),dbscset列数)</f>
        <v>$D$35</v>
      </c>
      <c r="E70" s="42" t="str">
        <f>ADDRESS(ROW(入力開始行数),dbscset列数)</f>
        <v>$D$35</v>
      </c>
    </row>
    <row r="71" spans="1:5">
      <c r="A71" s="40" t="s">
        <v>141</v>
      </c>
      <c r="B71" s="40" t="s">
        <v>134</v>
      </c>
      <c r="C71" s="42">
        <f t="shared" ca="1" si="1"/>
        <v>0</v>
      </c>
      <c r="D71" s="47"/>
      <c r="E71" s="47"/>
    </row>
    <row r="72" spans="1:5" ht="10.5" customHeight="1">
      <c r="A72" s="40" t="s">
        <v>141</v>
      </c>
      <c r="B72" s="40" t="s">
        <v>135</v>
      </c>
      <c r="C72" s="42">
        <f t="shared" ca="1" si="1"/>
        <v>0</v>
      </c>
      <c r="D72" s="47"/>
      <c r="E72" s="47"/>
    </row>
    <row r="73" spans="1:5">
      <c r="A73" s="40" t="s">
        <v>141</v>
      </c>
      <c r="B73" s="40" t="s">
        <v>165</v>
      </c>
      <c r="C73" s="42" t="str">
        <f t="shared" ca="1" si="1"/>
        <v>×</v>
      </c>
      <c r="D73" s="64" t="str">
        <f>"×"</f>
        <v>×</v>
      </c>
      <c r="E73" s="64" t="str">
        <f>E1&amp;"!"&amp;"AR5:AU29"</f>
        <v>STY010_V!AR5:AU29</v>
      </c>
    </row>
  </sheetData>
  <autoFilter ref="A1:D73"/>
  <phoneticPr fontId="2"/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U37"/>
  <sheetViews>
    <sheetView workbookViewId="0">
      <selection activeCell="E5" sqref="E5:H5"/>
    </sheetView>
  </sheetViews>
  <sheetFormatPr defaultRowHeight="13.5"/>
  <cols>
    <col min="1" max="2" width="1.625" style="75" customWidth="1"/>
    <col min="3" max="3" width="3.625" style="75" customWidth="1"/>
    <col min="4" max="4" width="7.25" style="75" customWidth="1"/>
    <col min="5" max="23" width="3.625" style="75" customWidth="1"/>
    <col min="24" max="24" width="5.625" style="75" customWidth="1"/>
    <col min="25" max="43" width="0" style="75" hidden="1" customWidth="1"/>
    <col min="44" max="45" width="9" style="75"/>
    <col min="46" max="46" width="17.875" style="75" bestFit="1" customWidth="1"/>
    <col min="47" max="47" width="12.875" style="75" bestFit="1" customWidth="1"/>
    <col min="48" max="16384" width="9" style="75"/>
  </cols>
  <sheetData>
    <row r="1" spans="1:47">
      <c r="A1" s="75" t="s">
        <v>238</v>
      </c>
    </row>
    <row r="3" spans="1:47" ht="21">
      <c r="R3" s="72"/>
      <c r="S3" s="72"/>
      <c r="T3" s="72"/>
      <c r="U3" s="72"/>
      <c r="V3" s="72"/>
      <c r="W3" s="72"/>
    </row>
    <row r="4" spans="1:47">
      <c r="C4" s="65" t="s">
        <v>169</v>
      </c>
      <c r="D4" s="65"/>
      <c r="E4" s="65"/>
      <c r="F4" s="65"/>
      <c r="G4" s="65"/>
      <c r="H4" s="65"/>
      <c r="AR4" s="75" t="s">
        <v>206</v>
      </c>
    </row>
    <row r="5" spans="1:47">
      <c r="C5" s="65" t="s">
        <v>170</v>
      </c>
      <c r="D5" s="65"/>
      <c r="E5" s="81"/>
      <c r="F5" s="80"/>
      <c r="G5" s="80"/>
      <c r="H5" s="80"/>
      <c r="J5" s="65" t="s">
        <v>171</v>
      </c>
      <c r="K5" s="65"/>
      <c r="L5" s="81"/>
      <c r="M5" s="80"/>
      <c r="O5" s="65" t="s">
        <v>172</v>
      </c>
      <c r="P5" s="65"/>
      <c r="Q5" s="81"/>
      <c r="R5" s="80"/>
      <c r="AR5" s="83" t="s">
        <v>162</v>
      </c>
      <c r="AS5" s="83" t="s">
        <v>163</v>
      </c>
      <c r="AT5" s="83" t="s">
        <v>164</v>
      </c>
      <c r="AU5" s="83" t="s">
        <v>240</v>
      </c>
    </row>
    <row r="6" spans="1:47">
      <c r="AR6" s="79">
        <v>1</v>
      </c>
      <c r="AS6" s="79" t="s">
        <v>212</v>
      </c>
      <c r="AT6" s="79" t="s">
        <v>213</v>
      </c>
      <c r="AU6" s="79" t="s">
        <v>239</v>
      </c>
    </row>
    <row r="7" spans="1:47" ht="13.5" customHeight="1">
      <c r="C7" s="65" t="s">
        <v>173</v>
      </c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AR7" s="79">
        <v>2</v>
      </c>
      <c r="AS7" s="79" t="s">
        <v>183</v>
      </c>
      <c r="AT7" s="79" t="s">
        <v>214</v>
      </c>
      <c r="AU7" s="79" t="str">
        <f>IF($A$1="閲覧","編集不可セル",IF($A$1="編集","編集可能セル"))</f>
        <v>編集不可セル</v>
      </c>
    </row>
    <row r="8" spans="1:47">
      <c r="AR8" s="79">
        <v>3</v>
      </c>
      <c r="AS8" s="79" t="s">
        <v>184</v>
      </c>
      <c r="AT8" s="79" t="s">
        <v>215</v>
      </c>
      <c r="AU8" s="79" t="str">
        <f>IF($A$1="閲覧","編集不可セル",IF($A$1="編集","編集可能セル"))</f>
        <v>編集不可セル</v>
      </c>
    </row>
    <row r="9" spans="1:47">
      <c r="C9" s="65" t="s">
        <v>174</v>
      </c>
      <c r="D9" s="65"/>
      <c r="E9" s="82"/>
      <c r="F9" s="79" t="s">
        <v>166</v>
      </c>
      <c r="G9" s="82"/>
      <c r="H9" s="65"/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AR9" s="79">
        <v>4</v>
      </c>
      <c r="AS9" s="79" t="s">
        <v>185</v>
      </c>
      <c r="AT9" s="79" t="s">
        <v>216</v>
      </c>
      <c r="AU9" s="79" t="str">
        <f>IF($A$1="閲覧","編集不可セル",IF($A$1="編集","編集可能セル"))</f>
        <v>編集不可セル</v>
      </c>
    </row>
    <row r="10" spans="1:47">
      <c r="AR10" s="79">
        <v>5</v>
      </c>
      <c r="AS10" s="79" t="s">
        <v>186</v>
      </c>
      <c r="AT10" s="79" t="s">
        <v>217</v>
      </c>
      <c r="AU10" s="79" t="s">
        <v>239</v>
      </c>
    </row>
    <row r="11" spans="1:47">
      <c r="C11" s="66" t="s">
        <v>182</v>
      </c>
      <c r="D11" s="67"/>
      <c r="E11" s="76" t="s">
        <v>175</v>
      </c>
      <c r="F11" s="77"/>
      <c r="G11" s="78"/>
      <c r="H11" s="81"/>
      <c r="I11" s="80"/>
      <c r="J11" s="80"/>
      <c r="K11" s="79" t="s">
        <v>167</v>
      </c>
      <c r="L11" s="81"/>
      <c r="M11" s="80"/>
      <c r="N11" s="79" t="s">
        <v>168</v>
      </c>
      <c r="O11" s="73"/>
      <c r="P11" s="73"/>
      <c r="Q11" s="73"/>
      <c r="R11" s="73"/>
      <c r="S11" s="73"/>
      <c r="T11" s="73"/>
      <c r="U11" s="73"/>
      <c r="V11" s="73"/>
      <c r="W11" s="73"/>
      <c r="AR11" s="79">
        <v>6</v>
      </c>
      <c r="AS11" s="79" t="s">
        <v>187</v>
      </c>
      <c r="AT11" s="79" t="s">
        <v>218</v>
      </c>
      <c r="AU11" s="79" t="str">
        <f>IF($A$1="閲覧","編集不可セル",IF($A$1="編集","編集可能セル"))</f>
        <v>編集不可セル</v>
      </c>
    </row>
    <row r="12" spans="1:47">
      <c r="C12" s="68"/>
      <c r="D12" s="69"/>
      <c r="E12" s="76" t="s">
        <v>176</v>
      </c>
      <c r="F12" s="77"/>
      <c r="G12" s="78"/>
      <c r="H12" s="81"/>
      <c r="I12" s="80"/>
      <c r="J12" s="80"/>
      <c r="K12" s="79" t="s">
        <v>167</v>
      </c>
      <c r="L12" s="81"/>
      <c r="M12" s="80"/>
      <c r="N12" s="79" t="s">
        <v>168</v>
      </c>
      <c r="O12" s="73"/>
      <c r="P12" s="73"/>
      <c r="Q12" s="73"/>
      <c r="R12" s="73"/>
      <c r="S12" s="73"/>
      <c r="T12" s="73"/>
      <c r="U12" s="73"/>
      <c r="V12" s="73"/>
      <c r="W12" s="73"/>
      <c r="AR12" s="79">
        <v>7</v>
      </c>
      <c r="AS12" s="79" t="s">
        <v>188</v>
      </c>
      <c r="AT12" s="79" t="s">
        <v>219</v>
      </c>
      <c r="AU12" s="79" t="str">
        <f>IF($A$1="閲覧","編集不可セル",IF($A$1="編集","編集可能セル"))</f>
        <v>編集不可セル</v>
      </c>
    </row>
    <row r="13" spans="1:47">
      <c r="C13" s="70"/>
      <c r="D13" s="71"/>
      <c r="E13" s="76" t="s">
        <v>177</v>
      </c>
      <c r="F13" s="77"/>
      <c r="G13" s="78"/>
      <c r="H13" s="81"/>
      <c r="I13" s="80"/>
      <c r="J13" s="80"/>
      <c r="K13" s="79" t="s">
        <v>167</v>
      </c>
      <c r="L13" s="81"/>
      <c r="M13" s="80"/>
      <c r="N13" s="79" t="s">
        <v>168</v>
      </c>
      <c r="O13" s="73"/>
      <c r="P13" s="73"/>
      <c r="Q13" s="73"/>
      <c r="R13" s="73"/>
      <c r="S13" s="73"/>
      <c r="T13" s="73"/>
      <c r="U13" s="73"/>
      <c r="V13" s="73"/>
      <c r="W13" s="73"/>
      <c r="AR13" s="79">
        <v>8</v>
      </c>
      <c r="AS13" s="79" t="s">
        <v>189</v>
      </c>
      <c r="AT13" s="79" t="s">
        <v>220</v>
      </c>
      <c r="AU13" s="79" t="s">
        <v>239</v>
      </c>
    </row>
    <row r="14" spans="1:47">
      <c r="AR14" s="79">
        <v>9</v>
      </c>
      <c r="AS14" s="79" t="s">
        <v>190</v>
      </c>
      <c r="AT14" s="79" t="s">
        <v>221</v>
      </c>
      <c r="AU14" s="79" t="str">
        <f>IF($A$1="閲覧","編集不可セル",IF($A$1="編集","編集可能セル"))</f>
        <v>編集不可セル</v>
      </c>
    </row>
    <row r="15" spans="1:47">
      <c r="C15" s="65" t="s">
        <v>178</v>
      </c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AR15" s="79">
        <v>10</v>
      </c>
      <c r="AS15" s="79" t="s">
        <v>191</v>
      </c>
      <c r="AT15" s="79" t="s">
        <v>222</v>
      </c>
      <c r="AU15" s="79" t="str">
        <f>IF($A$1="閲覧","編集不可セル",IF($A$1="編集","編集可能セル"))</f>
        <v>編集不可セル</v>
      </c>
    </row>
    <row r="16" spans="1:47">
      <c r="C16" s="65" t="s">
        <v>207</v>
      </c>
      <c r="D16" s="65"/>
      <c r="E16" s="65"/>
      <c r="F16" s="65"/>
      <c r="G16" s="65"/>
      <c r="H16" s="65"/>
      <c r="I16" s="81"/>
      <c r="J16" s="80"/>
      <c r="K16" s="80"/>
      <c r="L16" s="80"/>
      <c r="M16" s="80"/>
      <c r="N16" s="80"/>
      <c r="AR16" s="79">
        <v>11</v>
      </c>
      <c r="AS16" s="79" t="s">
        <v>192</v>
      </c>
      <c r="AT16" s="79" t="s">
        <v>223</v>
      </c>
      <c r="AU16" s="79" t="str">
        <f>IF($A$1="閲覧","編集不可セル",IF($A$1="編集","編集可能セル"))</f>
        <v>編集不可セル</v>
      </c>
    </row>
    <row r="17" spans="3:47">
      <c r="C17" s="65" t="s">
        <v>208</v>
      </c>
      <c r="D17" s="65"/>
      <c r="E17" s="81"/>
      <c r="F17" s="80"/>
      <c r="G17" s="80"/>
      <c r="H17" s="80"/>
      <c r="I17" s="81"/>
      <c r="J17" s="80"/>
      <c r="K17" s="80"/>
      <c r="L17" s="80"/>
      <c r="M17" s="80"/>
      <c r="N17" s="80"/>
      <c r="AR17" s="79">
        <v>12</v>
      </c>
      <c r="AS17" s="79" t="s">
        <v>193</v>
      </c>
      <c r="AT17" s="79" t="s">
        <v>224</v>
      </c>
      <c r="AU17" s="79" t="str">
        <f>IF($A$1="閲覧","編集不可セル",IF($A$1="編集","編集可能セル"))</f>
        <v>編集不可セル</v>
      </c>
    </row>
    <row r="18" spans="3:47">
      <c r="AR18" s="79">
        <v>13</v>
      </c>
      <c r="AS18" s="79" t="s">
        <v>194</v>
      </c>
      <c r="AT18" s="79" t="s">
        <v>225</v>
      </c>
      <c r="AU18" s="79" t="str">
        <f>IF($A$1="閲覧","編集不可セル",IF($A$1="編集","編集可能セル"))</f>
        <v>編集不可セル</v>
      </c>
    </row>
    <row r="19" spans="3:47">
      <c r="C19" s="74" t="s">
        <v>179</v>
      </c>
      <c r="D19" s="81"/>
      <c r="E19" s="80"/>
      <c r="F19" s="80"/>
      <c r="G19" s="80"/>
      <c r="H19" s="80"/>
      <c r="I19" s="80"/>
      <c r="J19" s="80"/>
      <c r="K19" s="80"/>
      <c r="L19" s="80"/>
      <c r="M19" s="80"/>
      <c r="N19" s="80"/>
      <c r="O19" s="80"/>
      <c r="P19" s="80"/>
      <c r="Q19" s="80"/>
      <c r="R19" s="80"/>
      <c r="S19" s="80"/>
      <c r="T19" s="80"/>
      <c r="U19" s="80"/>
      <c r="V19" s="80"/>
      <c r="W19" s="80"/>
      <c r="AR19" s="79">
        <v>14</v>
      </c>
      <c r="AS19" s="79" t="s">
        <v>195</v>
      </c>
      <c r="AT19" s="79" t="s">
        <v>226</v>
      </c>
      <c r="AU19" s="79" t="str">
        <f>IF($A$1="閲覧","編集不可セル",IF($A$1="編集","編集可能セル"))</f>
        <v>編集不可セル</v>
      </c>
    </row>
    <row r="20" spans="3:47">
      <c r="C20" s="74"/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AR20" s="79">
        <v>15</v>
      </c>
      <c r="AS20" s="79" t="s">
        <v>196</v>
      </c>
      <c r="AT20" s="79" t="s">
        <v>227</v>
      </c>
      <c r="AU20" s="79" t="s">
        <v>239</v>
      </c>
    </row>
    <row r="21" spans="3:47">
      <c r="C21" s="74"/>
      <c r="D21" s="80"/>
      <c r="E21" s="80"/>
      <c r="F21" s="80"/>
      <c r="G21" s="80"/>
      <c r="H21" s="80"/>
      <c r="I21" s="80"/>
      <c r="J21" s="80"/>
      <c r="K21" s="80"/>
      <c r="L21" s="80"/>
      <c r="M21" s="80"/>
      <c r="N21" s="80"/>
      <c r="O21" s="80"/>
      <c r="P21" s="80"/>
      <c r="Q21" s="80"/>
      <c r="R21" s="80"/>
      <c r="S21" s="80"/>
      <c r="T21" s="80"/>
      <c r="U21" s="80"/>
      <c r="V21" s="80"/>
      <c r="W21" s="80"/>
      <c r="AR21" s="79">
        <v>16</v>
      </c>
      <c r="AS21" s="79" t="s">
        <v>197</v>
      </c>
      <c r="AT21" s="79" t="s">
        <v>228</v>
      </c>
      <c r="AU21" s="79" t="s">
        <v>239</v>
      </c>
    </row>
    <row r="22" spans="3:47">
      <c r="C22" s="74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0"/>
      <c r="O22" s="80"/>
      <c r="P22" s="80"/>
      <c r="Q22" s="80"/>
      <c r="R22" s="80"/>
      <c r="S22" s="80"/>
      <c r="T22" s="80"/>
      <c r="U22" s="80"/>
      <c r="V22" s="80"/>
      <c r="W22" s="80"/>
      <c r="AR22" s="79">
        <v>17</v>
      </c>
      <c r="AS22" s="79" t="s">
        <v>198</v>
      </c>
      <c r="AT22" s="79" t="s">
        <v>229</v>
      </c>
      <c r="AU22" s="79" t="str">
        <f>IF($A$1="閲覧","編集不可セル",IF($A$1="編集","編集可能セル"))</f>
        <v>編集不可セル</v>
      </c>
    </row>
    <row r="23" spans="3:47">
      <c r="C23" s="74"/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0"/>
      <c r="S23" s="80"/>
      <c r="T23" s="80"/>
      <c r="U23" s="80"/>
      <c r="V23" s="80"/>
      <c r="W23" s="80"/>
      <c r="AR23" s="79">
        <v>18</v>
      </c>
      <c r="AS23" s="79" t="s">
        <v>199</v>
      </c>
      <c r="AT23" s="79" t="s">
        <v>230</v>
      </c>
      <c r="AU23" s="79" t="str">
        <f>IF($A$1="閲覧","編集不可セル",IF($A$1="編集","編集可能セル"))</f>
        <v>編集不可セル</v>
      </c>
    </row>
    <row r="24" spans="3:47">
      <c r="C24" s="74"/>
      <c r="D24" s="80"/>
      <c r="E24" s="80"/>
      <c r="F24" s="80"/>
      <c r="G24" s="80"/>
      <c r="H24" s="80"/>
      <c r="I24" s="80"/>
      <c r="J24" s="80"/>
      <c r="K24" s="80"/>
      <c r="L24" s="80"/>
      <c r="M24" s="80"/>
      <c r="N24" s="80"/>
      <c r="O24" s="80"/>
      <c r="P24" s="80"/>
      <c r="Q24" s="80"/>
      <c r="R24" s="80"/>
      <c r="S24" s="80"/>
      <c r="T24" s="80"/>
      <c r="U24" s="80"/>
      <c r="V24" s="80"/>
      <c r="W24" s="80"/>
      <c r="AR24" s="79">
        <v>19</v>
      </c>
      <c r="AS24" s="79" t="s">
        <v>200</v>
      </c>
      <c r="AT24" s="79" t="s">
        <v>231</v>
      </c>
      <c r="AU24" s="79" t="str">
        <f>IF($A$1="閲覧","編集不可セル",IF($A$1="編集","編集可能セル"))</f>
        <v>編集不可セル</v>
      </c>
    </row>
    <row r="25" spans="3:47">
      <c r="C25" s="74"/>
      <c r="D25" s="80"/>
      <c r="E25" s="80"/>
      <c r="F25" s="80"/>
      <c r="G25" s="80"/>
      <c r="H25" s="80"/>
      <c r="I25" s="80"/>
      <c r="J25" s="80"/>
      <c r="K25" s="80"/>
      <c r="L25" s="80"/>
      <c r="M25" s="80"/>
      <c r="N25" s="80"/>
      <c r="O25" s="80"/>
      <c r="P25" s="80"/>
      <c r="Q25" s="80"/>
      <c r="R25" s="80"/>
      <c r="S25" s="80"/>
      <c r="T25" s="80"/>
      <c r="U25" s="80"/>
      <c r="V25" s="80"/>
      <c r="W25" s="80"/>
      <c r="AR25" s="79">
        <v>20</v>
      </c>
      <c r="AS25" s="79" t="s">
        <v>201</v>
      </c>
      <c r="AT25" s="79" t="s">
        <v>232</v>
      </c>
      <c r="AU25" s="79" t="str">
        <f>IF($A$1="閲覧","編集不可セル",IF($A$1="編集","編集可能セル"))</f>
        <v>編集不可セル</v>
      </c>
    </row>
    <row r="26" spans="3:47">
      <c r="C26" s="74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0"/>
      <c r="AR26" s="79">
        <v>21</v>
      </c>
      <c r="AS26" s="79" t="s">
        <v>202</v>
      </c>
      <c r="AT26" s="79" t="s">
        <v>233</v>
      </c>
      <c r="AU26" s="79" t="str">
        <f>IF($A$1="閲覧","編集不可セル",IF($A$1="編集","編集可能セル"))</f>
        <v>編集不可セル</v>
      </c>
    </row>
    <row r="27" spans="3:47">
      <c r="C27" s="74"/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/>
      <c r="O27" s="80"/>
      <c r="P27" s="80"/>
      <c r="Q27" s="80"/>
      <c r="R27" s="80"/>
      <c r="S27" s="80"/>
      <c r="T27" s="80"/>
      <c r="U27" s="80"/>
      <c r="V27" s="80"/>
      <c r="W27" s="80"/>
      <c r="AR27" s="79">
        <v>22</v>
      </c>
      <c r="AS27" s="79" t="s">
        <v>203</v>
      </c>
      <c r="AT27" s="79" t="s">
        <v>234</v>
      </c>
      <c r="AU27" s="79" t="str">
        <f>IF($A$1="閲覧","編集不可セル",IF($A$1="編集","編集可能セル"))</f>
        <v>編集不可セル</v>
      </c>
    </row>
    <row r="28" spans="3:47">
      <c r="C28" s="74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80"/>
      <c r="S28" s="80"/>
      <c r="T28" s="80"/>
      <c r="U28" s="80"/>
      <c r="V28" s="80"/>
      <c r="W28" s="80"/>
      <c r="AR28" s="79">
        <v>23</v>
      </c>
      <c r="AS28" s="79" t="s">
        <v>204</v>
      </c>
      <c r="AT28" s="79" t="s">
        <v>235</v>
      </c>
      <c r="AU28" s="79" t="str">
        <f>IF($A$1="閲覧","編集不可セル",IF($A$1="編集","編集可能セル"))</f>
        <v>編集不可セル</v>
      </c>
    </row>
    <row r="29" spans="3:47">
      <c r="C29" s="74" t="s">
        <v>211</v>
      </c>
      <c r="D29" s="79" t="s">
        <v>180</v>
      </c>
      <c r="E29" s="65" t="s">
        <v>181</v>
      </c>
      <c r="F29" s="65"/>
      <c r="G29" s="65"/>
      <c r="H29" s="65"/>
      <c r="I29" s="65"/>
      <c r="J29" s="65" t="s">
        <v>209</v>
      </c>
      <c r="K29" s="65"/>
      <c r="L29" s="65"/>
      <c r="M29" s="65"/>
      <c r="N29" s="65"/>
      <c r="O29" s="65"/>
      <c r="P29" s="65"/>
      <c r="Q29" s="65" t="s">
        <v>210</v>
      </c>
      <c r="R29" s="65"/>
      <c r="S29" s="65"/>
      <c r="T29" s="65"/>
      <c r="U29" s="65"/>
      <c r="V29" s="65"/>
      <c r="W29" s="65"/>
      <c r="AR29" s="79">
        <v>24</v>
      </c>
      <c r="AS29" s="79" t="s">
        <v>205</v>
      </c>
      <c r="AT29" s="79" t="s">
        <v>236</v>
      </c>
      <c r="AU29" s="79" t="str">
        <f>IF($A$1="閲覧","編集不可セル",IF($A$1="編集","編集可能セル"))</f>
        <v>編集不可セル</v>
      </c>
    </row>
    <row r="30" spans="3:47">
      <c r="C30" s="74"/>
      <c r="D30" s="81"/>
      <c r="E30" s="81"/>
      <c r="F30" s="80"/>
      <c r="G30" s="80"/>
      <c r="H30" s="80"/>
      <c r="I30" s="80"/>
      <c r="J30" s="81"/>
      <c r="K30" s="80"/>
      <c r="L30" s="80"/>
      <c r="M30" s="80"/>
      <c r="N30" s="80"/>
      <c r="O30" s="80"/>
      <c r="P30" s="80"/>
      <c r="Q30" s="81"/>
      <c r="R30" s="80"/>
      <c r="S30" s="80"/>
      <c r="T30" s="80"/>
      <c r="U30" s="80"/>
      <c r="V30" s="80"/>
      <c r="W30" s="80"/>
    </row>
    <row r="31" spans="3:47">
      <c r="C31" s="74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</row>
    <row r="32" spans="3:47" ht="13.5" customHeight="1">
      <c r="C32" s="74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</row>
    <row r="33" spans="3:23">
      <c r="C33" s="74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</row>
    <row r="34" spans="3:23">
      <c r="C34" s="74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</row>
    <row r="35" spans="3:23">
      <c r="C35" s="74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</row>
    <row r="36" spans="3:23">
      <c r="C36" s="74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</row>
    <row r="37" spans="3:23" ht="13.5" customHeight="1">
      <c r="C37" s="74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</row>
  </sheetData>
  <mergeCells count="37">
    <mergeCell ref="O5:P5"/>
    <mergeCell ref="Q5:R5"/>
    <mergeCell ref="H13:J13"/>
    <mergeCell ref="L13:M13"/>
    <mergeCell ref="C7:D7"/>
    <mergeCell ref="E7:W7"/>
    <mergeCell ref="C9:D9"/>
    <mergeCell ref="H9:W9"/>
    <mergeCell ref="C11:D13"/>
    <mergeCell ref="H11:J11"/>
    <mergeCell ref="L11:M11"/>
    <mergeCell ref="C17:D17"/>
    <mergeCell ref="E17:H17"/>
    <mergeCell ref="I17:N17"/>
    <mergeCell ref="C19:C28"/>
    <mergeCell ref="C4:D4"/>
    <mergeCell ref="E4:H4"/>
    <mergeCell ref="C5:D5"/>
    <mergeCell ref="E5:H5"/>
    <mergeCell ref="J5:K5"/>
    <mergeCell ref="L5:M5"/>
    <mergeCell ref="H12:J12"/>
    <mergeCell ref="L12:M12"/>
    <mergeCell ref="C15:D15"/>
    <mergeCell ref="E15:N15"/>
    <mergeCell ref="C16:D16"/>
    <mergeCell ref="E16:H16"/>
    <mergeCell ref="I16:N16"/>
    <mergeCell ref="D19:W28"/>
    <mergeCell ref="C29:C37"/>
    <mergeCell ref="E29:I29"/>
    <mergeCell ref="J29:P29"/>
    <mergeCell ref="Q29:W29"/>
    <mergeCell ref="D30:D37"/>
    <mergeCell ref="E30:I37"/>
    <mergeCell ref="J30:P37"/>
    <mergeCell ref="Q30:W37"/>
  </mergeCells>
  <phoneticPr fontId="2"/>
  <dataValidations count="1">
    <dataValidation type="list" allowBlank="1" showInputMessage="1" showErrorMessage="1" sqref="A1">
      <formula1>"閲覧,編集"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40</vt:i4>
      </vt:variant>
    </vt:vector>
  </HeadingPairs>
  <TitlesOfParts>
    <vt:vector size="44" baseType="lpstr">
      <vt:lpstr>AreaTest</vt:lpstr>
      <vt:lpstr>OPINIO_V</vt:lpstr>
      <vt:lpstr>dbscset</vt:lpstr>
      <vt:lpstr>STY010_V</vt:lpstr>
      <vt:lpstr>dbscset列数</vt:lpstr>
      <vt:lpstr>MNO</vt:lpstr>
      <vt:lpstr>PWDForm表示フラグ</vt:lpstr>
      <vt:lpstr>PWD種類</vt:lpstr>
      <vt:lpstr>アクティブシート名</vt:lpstr>
      <vt:lpstr>コピー元行数</vt:lpstr>
      <vt:lpstr>サーバー時刻</vt:lpstr>
      <vt:lpstr>サーバー日付</vt:lpstr>
      <vt:lpstr>シート区分</vt:lpstr>
      <vt:lpstr>データ開始位置</vt:lpstr>
      <vt:lpstr>マニュアルボタン名</vt:lpstr>
      <vt:lpstr>マニュアル表示フラグ</vt:lpstr>
      <vt:lpstr>メニューバーボタン名</vt:lpstr>
      <vt:lpstr>メニューバー表示フラグ</vt:lpstr>
      <vt:lpstr>メニュー識別名</vt:lpstr>
      <vt:lpstr>ログイン時間</vt:lpstr>
      <vt:lpstr>ログイン年月日</vt:lpstr>
      <vt:lpstr>ログイン年度</vt:lpstr>
      <vt:lpstr>英語カラム名行数</vt:lpstr>
      <vt:lpstr>権限</vt:lpstr>
      <vt:lpstr>見出し開始行数</vt:lpstr>
      <vt:lpstr>見出し終了行数</vt:lpstr>
      <vt:lpstr>更新行数</vt:lpstr>
      <vt:lpstr>主キー列名</vt:lpstr>
      <vt:lpstr>出力ファイル名</vt:lpstr>
      <vt:lpstr>遷移モード</vt:lpstr>
      <vt:lpstr>挿入行数</vt:lpstr>
      <vt:lpstr>調書NO</vt:lpstr>
      <vt:lpstr>調書モード切替ボタン名</vt:lpstr>
      <vt:lpstr>調書入力モード</vt:lpstr>
      <vt:lpstr>追加行数</vt:lpstr>
      <vt:lpstr>締めフラグ</vt:lpstr>
      <vt:lpstr>読込開始セル位置</vt:lpstr>
      <vt:lpstr>読込件数</vt:lpstr>
      <vt:lpstr>読込件数出力セル位置</vt:lpstr>
      <vt:lpstr>入力開始行数</vt:lpstr>
      <vt:lpstr>入力終了行数</vt:lpstr>
      <vt:lpstr>入力書類</vt:lpstr>
      <vt:lpstr>入力制限フラグ</vt:lpstr>
      <vt:lpstr>入力制限メッセージ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JR九州</dc:creator>
  <cp:lastModifiedBy>JR九州</cp:lastModifiedBy>
  <dcterms:created xsi:type="dcterms:W3CDTF">2017-11-10T05:28:13Z</dcterms:created>
  <dcterms:modified xsi:type="dcterms:W3CDTF">2017-11-17T08:55:51Z</dcterms:modified>
</cp:coreProperties>
</file>